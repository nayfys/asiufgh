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bookViews>
    <workbookView xWindow="0" yWindow="0" windowWidth="28800" windowHeight="12330"/>
  </bookViews>
  <sheets>
    <sheet name="skoky" sheetId="1" r:id="rId1"/>
  </sheets>
  <calcPr calcId="0"/>
</workbook>
</file>

<file path=xl/calcChain.xml><?xml version="1.0" encoding="utf-8"?>
<calcChain xmlns="http://schemas.openxmlformats.org/spreadsheetml/2006/main">
  <c r="D67" i="1" l="1"/>
  <c r="C67" i="1"/>
  <c r="B67" i="1"/>
  <c r="D66" i="1"/>
  <c r="C66" i="1"/>
  <c r="B66" i="1"/>
  <c r="M10" i="1"/>
  <c r="O10" i="1" s="1"/>
  <c r="M31" i="1"/>
  <c r="O31" i="1" s="1"/>
  <c r="M16" i="1"/>
  <c r="O16" i="1" s="1"/>
  <c r="M59" i="1"/>
  <c r="O59" i="1" s="1"/>
  <c r="M34" i="1"/>
  <c r="O34" i="1" s="1"/>
  <c r="M17" i="1"/>
  <c r="O17" i="1" s="1"/>
  <c r="M49" i="1"/>
  <c r="O49" i="1" s="1"/>
  <c r="M23" i="1"/>
  <c r="O23" i="1" s="1"/>
  <c r="M56" i="1"/>
  <c r="O56" i="1" s="1"/>
  <c r="M35" i="1"/>
  <c r="O35" i="1" s="1"/>
  <c r="M8" i="1"/>
  <c r="O8" i="1" s="1"/>
  <c r="M51" i="1"/>
  <c r="O51" i="1" s="1"/>
  <c r="M14" i="1"/>
  <c r="O14" i="1" s="1"/>
  <c r="M53" i="1"/>
  <c r="O53" i="1" s="1"/>
  <c r="M7" i="1"/>
  <c r="O7" i="1" s="1"/>
  <c r="M25" i="1"/>
  <c r="O25" i="1" s="1"/>
  <c r="M46" i="1"/>
  <c r="O46" i="1" s="1"/>
  <c r="M36" i="1"/>
  <c r="O36" i="1" s="1"/>
  <c r="M13" i="1"/>
  <c r="O13" i="1" s="1"/>
  <c r="M50" i="1"/>
  <c r="O50" i="1" s="1"/>
  <c r="M38" i="1"/>
  <c r="O38" i="1" s="1"/>
  <c r="M48" i="1"/>
  <c r="O48" i="1" s="1"/>
  <c r="M4" i="1"/>
  <c r="O4" i="1" s="1"/>
  <c r="M26" i="1"/>
  <c r="O26" i="1" s="1"/>
  <c r="M40" i="1"/>
  <c r="O40" i="1" s="1"/>
  <c r="M29" i="1"/>
  <c r="O29" i="1" s="1"/>
  <c r="M58" i="1"/>
  <c r="O58" i="1" s="1"/>
  <c r="M47" i="1"/>
  <c r="O47" i="1" s="1"/>
  <c r="M44" i="1"/>
  <c r="O44" i="1" s="1"/>
  <c r="M45" i="1"/>
  <c r="O45" i="1" s="1"/>
  <c r="M12" i="1"/>
  <c r="O12" i="1" s="1"/>
  <c r="M33" i="1"/>
  <c r="O33" i="1" s="1"/>
  <c r="M42" i="1"/>
  <c r="O42" i="1" s="1"/>
  <c r="M55" i="1"/>
  <c r="O55" i="1" s="1"/>
  <c r="M3" i="1"/>
  <c r="O3" i="1" s="1"/>
  <c r="M39" i="1"/>
  <c r="O39" i="1" s="1"/>
  <c r="M11" i="1"/>
  <c r="O11" i="1" s="1"/>
  <c r="M15" i="1"/>
  <c r="O15" i="1" s="1"/>
  <c r="M62" i="1"/>
  <c r="O62" i="1" s="1"/>
  <c r="M9" i="1"/>
  <c r="O9" i="1" s="1"/>
  <c r="M37" i="1"/>
  <c r="O37" i="1" s="1"/>
  <c r="M19" i="1"/>
  <c r="O19" i="1" s="1"/>
  <c r="M5" i="1"/>
  <c r="O5" i="1" s="1"/>
  <c r="M6" i="1"/>
  <c r="O6" i="1" s="1"/>
  <c r="M60" i="1"/>
  <c r="O60" i="1" s="1"/>
  <c r="M54" i="1"/>
  <c r="O54" i="1" s="1"/>
  <c r="M22" i="1"/>
  <c r="O22" i="1" s="1"/>
  <c r="M61" i="1"/>
  <c r="O61" i="1" s="1"/>
  <c r="M28" i="1"/>
  <c r="O28" i="1" s="1"/>
  <c r="M20" i="1"/>
  <c r="O20" i="1" s="1"/>
  <c r="M32" i="1"/>
  <c r="O32" i="1" s="1"/>
  <c r="M52" i="1"/>
  <c r="O52" i="1" s="1"/>
  <c r="M18" i="1"/>
  <c r="O18" i="1" s="1"/>
  <c r="M21" i="1"/>
  <c r="O21" i="1" s="1"/>
  <c r="M43" i="1"/>
  <c r="O43" i="1" s="1"/>
  <c r="M27" i="1"/>
  <c r="O27" i="1" s="1"/>
  <c r="M24" i="1"/>
  <c r="O24" i="1" s="1"/>
  <c r="M30" i="1"/>
  <c r="O30" i="1" s="1"/>
  <c r="M57" i="1"/>
  <c r="O57" i="1" s="1"/>
  <c r="M41" i="1"/>
  <c r="O41" i="1" s="1"/>
  <c r="N3" i="1"/>
  <c r="N31" i="1"/>
  <c r="N16" i="1"/>
  <c r="N59" i="1"/>
  <c r="N34" i="1"/>
  <c r="N17" i="1"/>
  <c r="N49" i="1"/>
  <c r="N23" i="1"/>
  <c r="N56" i="1"/>
  <c r="N35" i="1"/>
  <c r="N8" i="1"/>
  <c r="N51" i="1"/>
  <c r="N14" i="1"/>
  <c r="N53" i="1"/>
  <c r="N7" i="1"/>
  <c r="N25" i="1"/>
  <c r="N46" i="1"/>
  <c r="N36" i="1"/>
  <c r="N13" i="1"/>
  <c r="N50" i="1"/>
  <c r="N38" i="1"/>
  <c r="N48" i="1"/>
  <c r="N4" i="1"/>
  <c r="N26" i="1"/>
  <c r="N40" i="1"/>
  <c r="N29" i="1"/>
  <c r="N58" i="1"/>
  <c r="N47" i="1"/>
  <c r="N44" i="1"/>
  <c r="N45" i="1"/>
  <c r="N12" i="1"/>
  <c r="N33" i="1"/>
  <c r="N42" i="1"/>
  <c r="N55" i="1"/>
  <c r="N39" i="1"/>
  <c r="N11" i="1"/>
  <c r="N15" i="1"/>
  <c r="N62" i="1"/>
  <c r="N9" i="1"/>
  <c r="N37" i="1"/>
  <c r="N19" i="1"/>
  <c r="N5" i="1"/>
  <c r="N6" i="1"/>
  <c r="N60" i="1"/>
  <c r="N54" i="1"/>
  <c r="N22" i="1"/>
  <c r="N61" i="1"/>
  <c r="N28" i="1"/>
  <c r="N20" i="1"/>
  <c r="N32" i="1"/>
  <c r="N52" i="1"/>
  <c r="N18" i="1"/>
  <c r="N21" i="1"/>
  <c r="N43" i="1"/>
  <c r="N27" i="1"/>
  <c r="N24" i="1"/>
  <c r="N30" i="1"/>
  <c r="N57" i="1"/>
  <c r="N41" i="1"/>
  <c r="N10" i="1"/>
  <c r="C10" i="1"/>
  <c r="C31" i="1"/>
  <c r="C16" i="1"/>
  <c r="C59" i="1"/>
  <c r="C34" i="1"/>
  <c r="C17" i="1"/>
  <c r="C49" i="1"/>
  <c r="C23" i="1"/>
  <c r="C56" i="1"/>
  <c r="C35" i="1"/>
  <c r="C8" i="1"/>
  <c r="C51" i="1"/>
  <c r="C14" i="1"/>
  <c r="C53" i="1"/>
  <c r="C7" i="1"/>
  <c r="C25" i="1"/>
  <c r="C46" i="1"/>
  <c r="C36" i="1"/>
  <c r="C13" i="1"/>
  <c r="C50" i="1"/>
  <c r="C38" i="1"/>
  <c r="C48" i="1"/>
  <c r="C4" i="1"/>
  <c r="C26" i="1"/>
  <c r="C40" i="1"/>
  <c r="C29" i="1"/>
  <c r="C58" i="1"/>
  <c r="C47" i="1"/>
  <c r="C44" i="1"/>
  <c r="C45" i="1"/>
  <c r="C12" i="1"/>
  <c r="C33" i="1"/>
  <c r="C42" i="1"/>
  <c r="C55" i="1"/>
  <c r="C3" i="1"/>
  <c r="C39" i="1"/>
  <c r="C11" i="1"/>
  <c r="C15" i="1"/>
  <c r="C62" i="1"/>
  <c r="C9" i="1"/>
  <c r="C37" i="1"/>
  <c r="C19" i="1"/>
  <c r="C5" i="1"/>
  <c r="C6" i="1"/>
  <c r="C60" i="1"/>
  <c r="C54" i="1"/>
  <c r="C22" i="1"/>
  <c r="C61" i="1"/>
  <c r="C28" i="1"/>
  <c r="C20" i="1"/>
  <c r="C32" i="1"/>
  <c r="C52" i="1"/>
  <c r="C18" i="1"/>
  <c r="C21" i="1"/>
  <c r="C43" i="1"/>
  <c r="C27" i="1"/>
  <c r="C24" i="1"/>
  <c r="C30" i="1"/>
  <c r="C57" i="1"/>
  <c r="C41" i="1"/>
</calcChain>
</file>

<file path=xl/sharedStrings.xml><?xml version="1.0" encoding="utf-8"?>
<sst xmlns="http://schemas.openxmlformats.org/spreadsheetml/2006/main" count="262" uniqueCount="149">
  <si>
    <t>Příjmení</t>
  </si>
  <si>
    <t>Jméno</t>
  </si>
  <si>
    <t>Ročník</t>
  </si>
  <si>
    <t>Stát</t>
  </si>
  <si>
    <t>Týmy</t>
  </si>
  <si>
    <t>Délka</t>
  </si>
  <si>
    <t>Styl1</t>
  </si>
  <si>
    <t>Styl2</t>
  </si>
  <si>
    <t>Styl3</t>
  </si>
  <si>
    <t>Styl4</t>
  </si>
  <si>
    <t>Styl5</t>
  </si>
  <si>
    <t>ALBERER</t>
  </si>
  <si>
    <t>Oliver</t>
  </si>
  <si>
    <t>GER</t>
  </si>
  <si>
    <t>NE</t>
  </si>
  <si>
    <t>AREN</t>
  </si>
  <si>
    <t>Andreas</t>
  </si>
  <si>
    <t>SWE</t>
  </si>
  <si>
    <t>ANO</t>
  </si>
  <si>
    <t>BACHLEDA</t>
  </si>
  <si>
    <t>Marcin</t>
  </si>
  <si>
    <t>POL</t>
  </si>
  <si>
    <t>BOSHCHUK</t>
  </si>
  <si>
    <t>Volodymyr</t>
  </si>
  <si>
    <t>UKR</t>
  </si>
  <si>
    <t>CIESLAR</t>
  </si>
  <si>
    <t>Mateusz</t>
  </si>
  <si>
    <t>CIKL</t>
  </si>
  <si>
    <t>Martin</t>
  </si>
  <si>
    <t>CZE</t>
  </si>
  <si>
    <t>DAMJAN</t>
  </si>
  <si>
    <t>Anze</t>
  </si>
  <si>
    <t>SLO</t>
  </si>
  <si>
    <t>DLUGOPOLSKI</t>
  </si>
  <si>
    <t>Kristian</t>
  </si>
  <si>
    <t>EGGENHOFER</t>
  </si>
  <si>
    <t>Markus</t>
  </si>
  <si>
    <t>AUT</t>
  </si>
  <si>
    <t>ELJAND</t>
  </si>
  <si>
    <t>Kristjan</t>
  </si>
  <si>
    <t>EST</t>
  </si>
  <si>
    <t>ERIKSON</t>
  </si>
  <si>
    <t>Johan</t>
  </si>
  <si>
    <t>FALLER</t>
  </si>
  <si>
    <t>Nico</t>
  </si>
  <si>
    <t>FETTNER</t>
  </si>
  <si>
    <t>Manuel</t>
  </si>
  <si>
    <t>GRIMHOLM</t>
  </si>
  <si>
    <t>Isak</t>
  </si>
  <si>
    <t>Jakob</t>
  </si>
  <si>
    <t>GUIGNARD</t>
  </si>
  <si>
    <t>Antoine</t>
  </si>
  <si>
    <t>SUI</t>
  </si>
  <si>
    <t>HAENEL</t>
  </si>
  <si>
    <t>Christoph</t>
  </si>
  <si>
    <t>HAFELE</t>
  </si>
  <si>
    <t>Mathias</t>
  </si>
  <si>
    <t>HELGESEN</t>
  </si>
  <si>
    <t>Haakon</t>
  </si>
  <si>
    <t>NOR</t>
  </si>
  <si>
    <t>HILDE</t>
  </si>
  <si>
    <t>Terje</t>
  </si>
  <si>
    <t>ISKRA</t>
  </si>
  <si>
    <t>Branko</t>
  </si>
  <si>
    <t>JURIS</t>
  </si>
  <si>
    <t>Jaan</t>
  </si>
  <si>
    <t>KAISER</t>
  </si>
  <si>
    <t>Stefan</t>
  </si>
  <si>
    <t>KALTENBOECK</t>
  </si>
  <si>
    <t>Bastian</t>
  </si>
  <si>
    <t>KOROLEV</t>
  </si>
  <si>
    <t>Alexey</t>
  </si>
  <si>
    <t>KAZ</t>
  </si>
  <si>
    <t>KOWAL</t>
  </si>
  <si>
    <t>Dawid</t>
  </si>
  <si>
    <t>KUBACKI</t>
  </si>
  <si>
    <t>LACKNER</t>
  </si>
  <si>
    <t>Daniel</t>
  </si>
  <si>
    <t>LANDERT</t>
  </si>
  <si>
    <t>Guido</t>
  </si>
  <si>
    <t>LASAROVICH</t>
  </si>
  <si>
    <t>Oleksander</t>
  </si>
  <si>
    <t>MAITRE</t>
  </si>
  <si>
    <t>Damien</t>
  </si>
  <si>
    <t>FRA</t>
  </si>
  <si>
    <t>MATEJA</t>
  </si>
  <si>
    <t>Robert</t>
  </si>
  <si>
    <t>MATURA</t>
  </si>
  <si>
    <t>Jan</t>
  </si>
  <si>
    <t>MECHLER</t>
  </si>
  <si>
    <t>Maximilian</t>
  </si>
  <si>
    <t>MURANKA</t>
  </si>
  <si>
    <t>Klemens</t>
  </si>
  <si>
    <t>NABIEV</t>
  </si>
  <si>
    <t>Chingiz</t>
  </si>
  <si>
    <t>OBREZA</t>
  </si>
  <si>
    <t>OSANAI</t>
  </si>
  <si>
    <t>Yoshihiko</t>
  </si>
  <si>
    <t>JPN</t>
  </si>
  <si>
    <t>PETERKA</t>
  </si>
  <si>
    <t>Primoz</t>
  </si>
  <si>
    <t>PCHELINTSEV</t>
  </si>
  <si>
    <t>POCHWALA</t>
  </si>
  <si>
    <t>Tomasz</t>
  </si>
  <si>
    <t>RADELJ</t>
  </si>
  <si>
    <t>Jure</t>
  </si>
  <si>
    <t>SEDLAK</t>
  </si>
  <si>
    <t>Borek</t>
  </si>
  <si>
    <t>SHUMBARETS</t>
  </si>
  <si>
    <t>Vitaliy</t>
  </si>
  <si>
    <t>SIMON</t>
  </si>
  <si>
    <t>Erik</t>
  </si>
  <si>
    <t>SKUPIEN</t>
  </si>
  <si>
    <t>Wojciech</t>
  </si>
  <si>
    <t>SLIZ</t>
  </si>
  <si>
    <t>Rafal</t>
  </si>
  <si>
    <t>SOLEM</t>
  </si>
  <si>
    <t>Morten</t>
  </si>
  <si>
    <t>STEINER</t>
  </si>
  <si>
    <t>Sandro</t>
  </si>
  <si>
    <t>TAJNER</t>
  </si>
  <si>
    <t>Tomislaw</t>
  </si>
  <si>
    <t>THURNBICHLER</t>
  </si>
  <si>
    <t>UMEZAKI</t>
  </si>
  <si>
    <t>Keita</t>
  </si>
  <si>
    <t>URBANC</t>
  </si>
  <si>
    <t>Rok</t>
  </si>
  <si>
    <t>VACULIK</t>
  </si>
  <si>
    <t>Ondrej</t>
  </si>
  <si>
    <t>Frantisek</t>
  </si>
  <si>
    <t>WAMBACHER</t>
  </si>
  <si>
    <t>Gerald</t>
  </si>
  <si>
    <t>WOLFRAM</t>
  </si>
  <si>
    <t>Andre</t>
  </si>
  <si>
    <t>YUMOTO</t>
  </si>
  <si>
    <t>Fumihisa</t>
  </si>
  <si>
    <t>ZONTA</t>
  </si>
  <si>
    <t>Peter</t>
  </si>
  <si>
    <t>Kategorie</t>
  </si>
  <si>
    <t>Skoky na lyžích - soutěž jednotlivců</t>
  </si>
  <si>
    <t>Body za skok</t>
  </si>
  <si>
    <t>Body za styl</t>
  </si>
  <si>
    <t>bodycelkem</t>
  </si>
  <si>
    <t xml:space="preserve">koeficient můstku  = </t>
  </si>
  <si>
    <t>bodové hodnocení</t>
  </si>
  <si>
    <t>délka skoku</t>
  </si>
  <si>
    <t>Průměr</t>
  </si>
  <si>
    <t>Nejvyšší</t>
  </si>
  <si>
    <t>Nejnižšší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</si>
</sst>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8" tint="-0.249977111117893"/>
      <name val="Calibri"/>
      <family val="2"/>
      <charset val="238"/>
      <scheme val="minor"/>
    </font>
    <font>
      <b/>
      <sz val="11"/>
      <color theme="4" tint="-0.499984740745262"/>
      <name val="Calibri"/>
      <family val="2"/>
      <charset val="238"/>
      <scheme val="minor"/>
    </font>
    <font>
      <b/>
      <sz val="16"/>
      <color theme="7"/>
      <name val="Calibri"/>
      <family val="2"/>
      <charset val="238"/>
      <scheme val="minor"/>
    </font>
    <font>
      <b/>
      <sz val="11"/>
      <color rgb="FF002060"/>
      <name val="Calibri"/>
      <family val="2"/>
      <charset val="238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206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19" fillId="33" borderId="0" xfId="0" applyFont="1" applyFill="1" applyAlignment="1"/>
    <xf numFmtId="0" fontId="13" fillId="40" borderId="0" xfId="0" applyFont="1" applyFill="1" applyAlignment="1">
      <alignment horizontal="center"/>
    </xf>
    <xf numFmtId="0" fontId="16" fillId="0" borderId="0" xfId="0" applyFont="1"/>
    <xf numFmtId="0" fontId="13" fillId="33" borderId="0" xfId="0" applyFont="1" applyFill="1"/>
    <xf numFmtId="164" fontId="0" fillId="36" borderId="0" xfId="0" applyNumberFormat="1" applyFont="1" applyFill="1"/>
    <xf numFmtId="164" fontId="0" fillId="34" borderId="0" xfId="0" applyNumberFormat="1" applyFont="1" applyFill="1"/>
    <xf numFmtId="0" fontId="0" fillId="38" borderId="0" xfId="0" applyFill="1"/>
    <xf numFmtId="0" fontId="21" fillId="38" borderId="0" xfId="0" applyFont="1" applyFill="1"/>
    <xf numFmtId="0" fontId="17" fillId="38" borderId="10" xfId="0" applyFont="1" applyFill="1" applyBorder="1" applyAlignment="1">
      <alignment horizontal="center"/>
    </xf>
    <xf numFmtId="0" fontId="17" fillId="38" borderId="11" xfId="0" applyFont="1" applyFill="1" applyBorder="1" applyAlignment="1">
      <alignment horizontal="center"/>
    </xf>
    <xf numFmtId="0" fontId="19" fillId="37" borderId="11" xfId="0" applyFont="1" applyFill="1" applyBorder="1" applyAlignment="1">
      <alignment horizontal="center" textRotation="90"/>
    </xf>
    <xf numFmtId="0" fontId="19" fillId="37" borderId="12" xfId="0" applyFont="1" applyFill="1" applyBorder="1" applyAlignment="1">
      <alignment horizontal="center" textRotation="90"/>
    </xf>
    <xf numFmtId="0" fontId="18" fillId="0" borderId="13" xfId="0" applyFont="1" applyBorder="1"/>
    <xf numFmtId="0" fontId="18" fillId="0" borderId="0" xfId="0" applyFont="1" applyBorder="1"/>
    <xf numFmtId="0" fontId="0" fillId="0" borderId="0" xfId="0" applyBorder="1"/>
    <xf numFmtId="0" fontId="16" fillId="34" borderId="0" xfId="0" applyFont="1" applyFill="1" applyBorder="1"/>
    <xf numFmtId="0" fontId="0" fillId="35" borderId="0" xfId="0" applyFill="1" applyBorder="1"/>
    <xf numFmtId="0" fontId="17" fillId="41" borderId="14" xfId="0" applyFont="1" applyFill="1" applyBorder="1"/>
    <xf numFmtId="0" fontId="18" fillId="0" borderId="15" xfId="0" applyFont="1" applyBorder="1"/>
    <xf numFmtId="0" fontId="18" fillId="0" borderId="16" xfId="0" applyFont="1" applyBorder="1"/>
    <xf numFmtId="0" fontId="0" fillId="0" borderId="16" xfId="0" applyBorder="1"/>
    <xf numFmtId="0" fontId="16" fillId="34" borderId="16" xfId="0" applyFont="1" applyFill="1" applyBorder="1"/>
    <xf numFmtId="0" fontId="0" fillId="35" borderId="16" xfId="0" applyFill="1" applyBorder="1"/>
    <xf numFmtId="0" fontId="17" fillId="41" borderId="17" xfId="0" applyFont="1" applyFill="1" applyBorder="1"/>
    <xf numFmtId="0" fontId="20" fillId="39" borderId="16" xfId="0" applyFont="1" applyFill="1" applyBorder="1" applyAlignment="1">
      <alignment horizontal="center"/>
    </xf>
  </cellXfs>
  <cellStyles count="42">
    <cellStyle name="20 % – Zvýraznění1" xfId="19" builtinId="30" customBuiltin="1"/>
    <cellStyle name="20 % – Zvýraznění2" xfId="23" builtinId="34" customBuiltin="1"/>
    <cellStyle name="20 % – Zvýraznění3" xfId="27" builtinId="38" customBuiltin="1"/>
    <cellStyle name="20 % – Zvýraznění4" xfId="31" builtinId="42" customBuiltin="1"/>
    <cellStyle name="20 % – Zvýraznění5" xfId="35" builtinId="46" customBuiltin="1"/>
    <cellStyle name="20 % – Zvýraznění6" xfId="39" builtinId="50" customBuiltin="1"/>
    <cellStyle name="40 % – Zvýraznění1" xfId="20" builtinId="31" customBuiltin="1"/>
    <cellStyle name="40 % – Zvýraznění2" xfId="24" builtinId="35" customBuiltin="1"/>
    <cellStyle name="40 % – Zvýraznění3" xfId="28" builtinId="39" customBuiltin="1"/>
    <cellStyle name="40 % – Zvýraznění4" xfId="32" builtinId="43" customBuiltin="1"/>
    <cellStyle name="40 % – Zvýraznění5" xfId="36" builtinId="47" customBuiltin="1"/>
    <cellStyle name="40 % – Zvýraznění6" xfId="40" builtinId="51" customBuiltin="1"/>
    <cellStyle name="60 % – Zvýraznění1" xfId="21" builtinId="32" customBuiltin="1"/>
    <cellStyle name="60 % – Zvýraznění2" xfId="25" builtinId="36" customBuiltin="1"/>
    <cellStyle name="60 % – Zvýraznění3" xfId="29" builtinId="40" customBuiltin="1"/>
    <cellStyle name="60 % – Zvýraznění4" xfId="33" builtinId="44" customBuiltin="1"/>
    <cellStyle name="60 % – Zvýraznění5" xfId="37" builtinId="48" customBuiltin="1"/>
    <cellStyle name="60 % – Zvýraznění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1">
    <dxf>
      <font>
        <color theme="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"/>
  <sheetViews>
    <sheetView tabSelected="1" workbookViewId="0">
      <selection activeCell="M3" sqref="M3"/>
    </sheetView>
  </sheetViews>
  <sheetFormatPr defaultRowHeight="15" x14ac:dyDescent="0.25"/>
  <cols>
    <col min="1" max="1" width="17.7109375" bestFit="1" customWidth="1"/>
    <col min="2" max="2" width="11.140625" bestFit="1" customWidth="1"/>
    <col min="3" max="3" width="9.5703125" bestFit="1" customWidth="1"/>
    <col min="4" max="4" width="8.85546875" bestFit="1" customWidth="1"/>
    <col min="5" max="5" width="5" bestFit="1" customWidth="1"/>
    <col min="6" max="6" width="5.7109375" bestFit="1" customWidth="1"/>
    <col min="7" max="7" width="6" bestFit="1" customWidth="1"/>
    <col min="8" max="12" width="5.28515625" bestFit="1" customWidth="1"/>
    <col min="13" max="13" width="5.28515625" customWidth="1"/>
  </cols>
  <sheetData>
    <row r="1" spans="1:15" ht="21.75" thickBot="1" x14ac:dyDescent="0.4">
      <c r="A1" s="25" t="s">
        <v>139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ht="70.5" customHeight="1" x14ac:dyDescent="0.25">
      <c r="A2" s="9" t="s">
        <v>0</v>
      </c>
      <c r="B2" s="10" t="s">
        <v>1</v>
      </c>
      <c r="C2" s="10" t="s">
        <v>138</v>
      </c>
      <c r="D2" s="10" t="s">
        <v>2</v>
      </c>
      <c r="E2" s="10" t="s">
        <v>3</v>
      </c>
      <c r="F2" s="10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141</v>
      </c>
      <c r="N2" s="11" t="s">
        <v>140</v>
      </c>
      <c r="O2" s="12" t="s">
        <v>142</v>
      </c>
    </row>
    <row r="3" spans="1:15" x14ac:dyDescent="0.25">
      <c r="A3" s="13" t="s">
        <v>93</v>
      </c>
      <c r="B3" s="14" t="s">
        <v>94</v>
      </c>
      <c r="C3" s="15" t="str">
        <f>IF(D3&lt;2005,"senior","junior")</f>
        <v>senior</v>
      </c>
      <c r="D3" s="15">
        <v>2004</v>
      </c>
      <c r="E3" s="15" t="s">
        <v>72</v>
      </c>
      <c r="F3" s="15" t="s">
        <v>14</v>
      </c>
      <c r="G3" s="16">
        <v>70</v>
      </c>
      <c r="H3" s="15">
        <v>13</v>
      </c>
      <c r="I3" s="15">
        <v>12.5</v>
      </c>
      <c r="J3" s="15">
        <v>13.5</v>
      </c>
      <c r="K3" s="15">
        <v>14.5</v>
      </c>
      <c r="L3" s="15">
        <v>13</v>
      </c>
      <c r="M3" s="17">
        <f>SUM(H3:L3) - MIN(H3:L3) - MAX(H3:L3)</f>
        <v>39.5</v>
      </c>
      <c r="N3" s="17">
        <f>IF(G3:G62 &gt; 120,60 + ((120-G3) * 1.2),60 - ((G3-120) * 1.2))</f>
        <v>120</v>
      </c>
      <c r="O3" s="18">
        <f>SUM(M3:N3)</f>
        <v>159.5</v>
      </c>
    </row>
    <row r="4" spans="1:15" x14ac:dyDescent="0.25">
      <c r="A4" s="13" t="s">
        <v>68</v>
      </c>
      <c r="B4" s="14" t="s">
        <v>69</v>
      </c>
      <c r="C4" s="15" t="str">
        <f>IF(D4&lt;2005,"senior","junior")</f>
        <v>senior</v>
      </c>
      <c r="D4" s="15">
        <v>1998</v>
      </c>
      <c r="E4" s="15" t="s">
        <v>37</v>
      </c>
      <c r="F4" s="15" t="s">
        <v>18</v>
      </c>
      <c r="G4" s="16">
        <v>120.5</v>
      </c>
      <c r="H4" s="15">
        <v>18</v>
      </c>
      <c r="I4" s="15">
        <v>17.5</v>
      </c>
      <c r="J4" s="15">
        <v>19.5</v>
      </c>
      <c r="K4" s="15">
        <v>18</v>
      </c>
      <c r="L4" s="15">
        <v>19.5</v>
      </c>
      <c r="M4" s="17">
        <f>SUM(H4:L4) - MIN(H4:L4) - MAX(H4:L4)</f>
        <v>55.5</v>
      </c>
      <c r="N4" s="17">
        <f>IF(G4:G63 &gt; 120,60 + ((120-G4) * 1.2),60 - ((120-G4) * 1.2))</f>
        <v>59.4</v>
      </c>
      <c r="O4" s="18">
        <f>SUM(M4:N4)</f>
        <v>114.9</v>
      </c>
    </row>
    <row r="5" spans="1:15" x14ac:dyDescent="0.25">
      <c r="A5" s="13" t="s">
        <v>108</v>
      </c>
      <c r="B5" s="14" t="s">
        <v>109</v>
      </c>
      <c r="C5" s="15" t="str">
        <f>IF(D5&lt;2005,"senior","junior")</f>
        <v>senior</v>
      </c>
      <c r="D5" s="15">
        <v>1998</v>
      </c>
      <c r="E5" s="15" t="s">
        <v>24</v>
      </c>
      <c r="F5" s="15" t="s">
        <v>14</v>
      </c>
      <c r="G5" s="16">
        <v>112.5</v>
      </c>
      <c r="H5" s="15">
        <v>19</v>
      </c>
      <c r="I5" s="15">
        <v>19</v>
      </c>
      <c r="J5" s="15">
        <v>19</v>
      </c>
      <c r="K5" s="15">
        <v>16.5</v>
      </c>
      <c r="L5" s="15">
        <v>18.5</v>
      </c>
      <c r="M5" s="17">
        <f>SUM(H5:L5) - MIN(H5:L5) - MAX(H5:L5)</f>
        <v>56.5</v>
      </c>
      <c r="N5" s="17">
        <f>IF(G5:G64 &gt; 120,60 + ((120-G5) * 1.2),60 - ((120-G5) * 1.2))</f>
        <v>51</v>
      </c>
      <c r="O5" s="18">
        <f>SUM(M5:N5)</f>
        <v>107.5</v>
      </c>
    </row>
    <row r="6" spans="1:15" x14ac:dyDescent="0.25">
      <c r="A6" s="13" t="s">
        <v>110</v>
      </c>
      <c r="B6" s="14" t="s">
        <v>111</v>
      </c>
      <c r="C6" s="15" t="str">
        <f>IF(D6&lt;2005,"senior","junior")</f>
        <v>senior</v>
      </c>
      <c r="D6" s="15">
        <v>2002</v>
      </c>
      <c r="E6" s="15" t="s">
        <v>13</v>
      </c>
      <c r="F6" s="15" t="s">
        <v>18</v>
      </c>
      <c r="G6" s="16">
        <v>112</v>
      </c>
      <c r="H6" s="15">
        <v>17</v>
      </c>
      <c r="I6" s="15">
        <v>19</v>
      </c>
      <c r="J6" s="15">
        <v>17.5</v>
      </c>
      <c r="K6" s="15">
        <v>17.5</v>
      </c>
      <c r="L6" s="15">
        <v>19</v>
      </c>
      <c r="M6" s="17">
        <f>SUM(H6:L6) - MIN(H6:L6) - MAX(H6:L6)</f>
        <v>54</v>
      </c>
      <c r="N6" s="17">
        <f>IF(G6:G65 &gt; 120,60 + ((120-G6) * 1.2),60 - ((120-G6) * 1.2))</f>
        <v>50.4</v>
      </c>
      <c r="O6" s="18">
        <f>SUM(M6:N6)</f>
        <v>104.4</v>
      </c>
    </row>
    <row r="7" spans="1:15" x14ac:dyDescent="0.25">
      <c r="A7" s="13" t="s">
        <v>50</v>
      </c>
      <c r="B7" s="14" t="s">
        <v>51</v>
      </c>
      <c r="C7" s="15" t="str">
        <f>IF(D7&lt;2005,"senior","junior")</f>
        <v>senior</v>
      </c>
      <c r="D7" s="15">
        <v>1999</v>
      </c>
      <c r="E7" s="15" t="s">
        <v>52</v>
      </c>
      <c r="F7" s="15" t="s">
        <v>14</v>
      </c>
      <c r="G7" s="16">
        <v>112.5</v>
      </c>
      <c r="H7" s="15">
        <v>19</v>
      </c>
      <c r="I7" s="15">
        <v>17</v>
      </c>
      <c r="J7" s="15">
        <v>17</v>
      </c>
      <c r="K7" s="15">
        <v>17</v>
      </c>
      <c r="L7" s="15">
        <v>18</v>
      </c>
      <c r="M7" s="17">
        <f>SUM(H7:L7) - MIN(H7:L7) - MAX(H7:L7)</f>
        <v>52</v>
      </c>
      <c r="N7" s="17">
        <f>IF(G7:G66 &gt; 120,60 + ((120-G7) * 1.2),60 - ((120-G7) * 1.2))</f>
        <v>51</v>
      </c>
      <c r="O7" s="18">
        <f>SUM(M7:N7)</f>
        <v>103</v>
      </c>
    </row>
    <row r="8" spans="1:15" x14ac:dyDescent="0.25">
      <c r="A8" s="13" t="s">
        <v>43</v>
      </c>
      <c r="B8" s="14" t="s">
        <v>44</v>
      </c>
      <c r="C8" s="15" t="str">
        <f>IF(D8&lt;2005,"senior","junior")</f>
        <v>senior</v>
      </c>
      <c r="D8" s="15">
        <v>2003</v>
      </c>
      <c r="E8" s="15" t="s">
        <v>13</v>
      </c>
      <c r="F8" s="15" t="s">
        <v>18</v>
      </c>
      <c r="G8" s="16">
        <v>109.5</v>
      </c>
      <c r="H8" s="15">
        <v>19</v>
      </c>
      <c r="I8" s="15">
        <v>16.5</v>
      </c>
      <c r="J8" s="15">
        <v>18</v>
      </c>
      <c r="K8" s="15">
        <v>19</v>
      </c>
      <c r="L8" s="15">
        <v>17.5</v>
      </c>
      <c r="M8" s="17">
        <f>SUM(H8:L8) - MIN(H8:L8) - MAX(H8:L8)</f>
        <v>54.5</v>
      </c>
      <c r="N8" s="17">
        <f>IF(G8:G67 &gt; 120,60 + ((120-G8) * 1.2),60 - ((120-G8) * 1.2))</f>
        <v>47.4</v>
      </c>
      <c r="O8" s="18">
        <f>SUM(M8:N8)</f>
        <v>101.9</v>
      </c>
    </row>
    <row r="9" spans="1:15" x14ac:dyDescent="0.25">
      <c r="A9" s="13" t="s">
        <v>102</v>
      </c>
      <c r="B9" s="14" t="s">
        <v>103</v>
      </c>
      <c r="C9" s="15" t="str">
        <f>IF(D9&lt;2005,"senior","junior")</f>
        <v>senior</v>
      </c>
      <c r="D9" s="15">
        <v>1998</v>
      </c>
      <c r="E9" s="15" t="s">
        <v>21</v>
      </c>
      <c r="F9" s="15" t="s">
        <v>18</v>
      </c>
      <c r="G9" s="16">
        <v>109</v>
      </c>
      <c r="H9" s="15">
        <v>18</v>
      </c>
      <c r="I9" s="15">
        <v>17.5</v>
      </c>
      <c r="J9" s="15">
        <v>17.5</v>
      </c>
      <c r="K9" s="15">
        <v>17</v>
      </c>
      <c r="L9" s="15">
        <v>18</v>
      </c>
      <c r="M9" s="17">
        <f>SUM(H9:L9) - MIN(H9:L9) - MAX(H9:L9)</f>
        <v>53</v>
      </c>
      <c r="N9" s="17">
        <f>IF(G9:G68 &gt; 120,60 + ((120-G9) * 1.2),60 - ((120-G9) * 1.2))</f>
        <v>46.8</v>
      </c>
      <c r="O9" s="18">
        <f>SUM(M9:N9)</f>
        <v>99.8</v>
      </c>
    </row>
    <row r="10" spans="1:15" x14ac:dyDescent="0.25">
      <c r="A10" s="13" t="s">
        <v>15</v>
      </c>
      <c r="B10" s="14" t="s">
        <v>16</v>
      </c>
      <c r="C10" s="15" t="str">
        <f>IF(D10&lt;2005,"senior","junior")</f>
        <v>senior</v>
      </c>
      <c r="D10" s="15">
        <v>2000</v>
      </c>
      <c r="E10" s="15" t="s">
        <v>17</v>
      </c>
      <c r="F10" s="15" t="s">
        <v>18</v>
      </c>
      <c r="G10" s="16">
        <v>110</v>
      </c>
      <c r="H10" s="15">
        <v>18.5</v>
      </c>
      <c r="I10" s="15">
        <v>17.5</v>
      </c>
      <c r="J10" s="15">
        <v>17</v>
      </c>
      <c r="K10" s="15">
        <v>16.5</v>
      </c>
      <c r="L10" s="15">
        <v>17</v>
      </c>
      <c r="M10" s="17">
        <f>SUM(H10:L10) - MIN(H10:L10) - MAX(H10:L10)</f>
        <v>51.5</v>
      </c>
      <c r="N10" s="17">
        <f>IF(G10:G69 &gt; 120,60 + ((120-G10) * 1.2),60 - ((120-G10) * 1.2))</f>
        <v>48</v>
      </c>
      <c r="O10" s="18">
        <f>SUM(M10:N10)</f>
        <v>99.5</v>
      </c>
    </row>
    <row r="11" spans="1:15" x14ac:dyDescent="0.25">
      <c r="A11" s="13" t="s">
        <v>96</v>
      </c>
      <c r="B11" s="14" t="s">
        <v>97</v>
      </c>
      <c r="C11" s="15" t="str">
        <f>IF(D11&lt;2005,"senior","junior")</f>
        <v>senior</v>
      </c>
      <c r="D11" s="15">
        <v>2000</v>
      </c>
      <c r="E11" s="15" t="s">
        <v>98</v>
      </c>
      <c r="F11" s="15" t="s">
        <v>14</v>
      </c>
      <c r="G11" s="16">
        <v>108</v>
      </c>
      <c r="H11" s="15">
        <v>19</v>
      </c>
      <c r="I11" s="15">
        <v>17</v>
      </c>
      <c r="J11" s="15">
        <v>18</v>
      </c>
      <c r="K11" s="15">
        <v>18.5</v>
      </c>
      <c r="L11" s="15">
        <v>16.5</v>
      </c>
      <c r="M11" s="17">
        <f>SUM(H11:L11) - MIN(H11:L11) - MAX(H11:L11)</f>
        <v>53.5</v>
      </c>
      <c r="N11" s="17">
        <f>IF(G11:G70 &gt; 120,60 + ((120-G11) * 1.2),60 - ((120-G11) * 1.2))</f>
        <v>45.6</v>
      </c>
      <c r="O11" s="18">
        <f>SUM(M11:N11)</f>
        <v>99.1</v>
      </c>
    </row>
    <row r="12" spans="1:15" x14ac:dyDescent="0.25">
      <c r="A12" s="13" t="s">
        <v>85</v>
      </c>
      <c r="B12" s="14" t="s">
        <v>86</v>
      </c>
      <c r="C12" s="15" t="str">
        <f>IF(D12&lt;2005,"senior","junior")</f>
        <v>senior</v>
      </c>
      <c r="D12" s="15">
        <v>1989</v>
      </c>
      <c r="E12" s="15" t="s">
        <v>21</v>
      </c>
      <c r="F12" s="15" t="s">
        <v>18</v>
      </c>
      <c r="G12" s="16">
        <v>107</v>
      </c>
      <c r="H12" s="15">
        <v>17.5</v>
      </c>
      <c r="I12" s="15">
        <v>18.5</v>
      </c>
      <c r="J12" s="15">
        <v>18.5</v>
      </c>
      <c r="K12" s="15">
        <v>19</v>
      </c>
      <c r="L12" s="15">
        <v>16.5</v>
      </c>
      <c r="M12" s="17">
        <f>SUM(H12:L12) - MIN(H12:L12) - MAX(H12:L12)</f>
        <v>54.5</v>
      </c>
      <c r="N12" s="17">
        <f>IF(G12:G71 &gt; 120,60 + ((120-G12) * 1.2),60 - ((120-G12) * 1.2))</f>
        <v>44.4</v>
      </c>
      <c r="O12" s="18">
        <f>SUM(M12:N12)</f>
        <v>98.9</v>
      </c>
    </row>
    <row r="13" spans="1:15" x14ac:dyDescent="0.25">
      <c r="A13" s="13" t="s">
        <v>60</v>
      </c>
      <c r="B13" s="14" t="s">
        <v>61</v>
      </c>
      <c r="C13" s="15" t="str">
        <f>IF(D13&lt;2005,"senior","junior")</f>
        <v>senior</v>
      </c>
      <c r="D13" s="15">
        <v>2001</v>
      </c>
      <c r="E13" s="15" t="s">
        <v>59</v>
      </c>
      <c r="F13" s="15" t="s">
        <v>14</v>
      </c>
      <c r="G13" s="16">
        <v>106</v>
      </c>
      <c r="H13" s="15">
        <v>16.5</v>
      </c>
      <c r="I13" s="15">
        <v>19</v>
      </c>
      <c r="J13" s="15">
        <v>18</v>
      </c>
      <c r="K13" s="15">
        <v>18.5</v>
      </c>
      <c r="L13" s="15">
        <v>19</v>
      </c>
      <c r="M13" s="17">
        <f>SUM(H13:L13) - MIN(H13:L13) - MAX(H13:L13)</f>
        <v>55.5</v>
      </c>
      <c r="N13" s="17">
        <f>IF(G13:G72 &gt; 120,60 + ((120-G13) * 1.2),60 - ((120-G13) * 1.2))</f>
        <v>43.2</v>
      </c>
      <c r="O13" s="18">
        <f>SUM(M13:N13)</f>
        <v>98.7</v>
      </c>
    </row>
    <row r="14" spans="1:15" x14ac:dyDescent="0.25">
      <c r="A14" s="13" t="s">
        <v>47</v>
      </c>
      <c r="B14" s="14" t="s">
        <v>48</v>
      </c>
      <c r="C14" s="15" t="str">
        <f>IF(D14&lt;2005,"senior","junior")</f>
        <v>senior</v>
      </c>
      <c r="D14" s="15">
        <v>2000</v>
      </c>
      <c r="E14" s="15" t="s">
        <v>17</v>
      </c>
      <c r="F14" s="15" t="s">
        <v>18</v>
      </c>
      <c r="G14" s="16">
        <v>106</v>
      </c>
      <c r="H14" s="15">
        <v>19</v>
      </c>
      <c r="I14" s="15">
        <v>17.5</v>
      </c>
      <c r="J14" s="15">
        <v>18.5</v>
      </c>
      <c r="K14" s="15">
        <v>18</v>
      </c>
      <c r="L14" s="15">
        <v>18</v>
      </c>
      <c r="M14" s="17">
        <f>SUM(H14:L14) - MIN(H14:L14) - MAX(H14:L14)</f>
        <v>54.5</v>
      </c>
      <c r="N14" s="17">
        <f>IF(G14:G73 &gt; 120,60 + ((120-G14) * 1.2),60 - ((120-G14) * 1.2))</f>
        <v>43.2</v>
      </c>
      <c r="O14" s="18">
        <f>SUM(M14:N14)</f>
        <v>97.7</v>
      </c>
    </row>
    <row r="15" spans="1:15" x14ac:dyDescent="0.25">
      <c r="A15" s="13" t="s">
        <v>99</v>
      </c>
      <c r="B15" s="14" t="s">
        <v>100</v>
      </c>
      <c r="C15" s="15" t="str">
        <f>IF(D15&lt;2005,"senior","junior")</f>
        <v>senior</v>
      </c>
      <c r="D15" s="15">
        <v>1994</v>
      </c>
      <c r="E15" s="15" t="s">
        <v>32</v>
      </c>
      <c r="F15" s="15" t="s">
        <v>18</v>
      </c>
      <c r="G15" s="16">
        <v>108</v>
      </c>
      <c r="H15" s="15">
        <v>17</v>
      </c>
      <c r="I15" s="15">
        <v>17.5</v>
      </c>
      <c r="J15" s="15">
        <v>19</v>
      </c>
      <c r="K15" s="15">
        <v>17</v>
      </c>
      <c r="L15" s="15">
        <v>16.5</v>
      </c>
      <c r="M15" s="17">
        <f>SUM(H15:L15) - MIN(H15:L15) - MAX(H15:L15)</f>
        <v>51.5</v>
      </c>
      <c r="N15" s="17">
        <f>IF(G15:G74 &gt; 120,60 + ((120-G15) * 1.2),60 - ((120-G15) * 1.2))</f>
        <v>45.6</v>
      </c>
      <c r="O15" s="18">
        <f>SUM(M15:N15)</f>
        <v>97.1</v>
      </c>
    </row>
    <row r="16" spans="1:15" x14ac:dyDescent="0.25">
      <c r="A16" s="13" t="s">
        <v>22</v>
      </c>
      <c r="B16" s="14" t="s">
        <v>23</v>
      </c>
      <c r="C16" s="15" t="str">
        <f>IF(D16&lt;2005,"senior","junior")</f>
        <v>senior</v>
      </c>
      <c r="D16" s="15">
        <v>1997</v>
      </c>
      <c r="E16" s="15" t="s">
        <v>24</v>
      </c>
      <c r="F16" s="15" t="s">
        <v>14</v>
      </c>
      <c r="G16" s="16">
        <v>108</v>
      </c>
      <c r="H16" s="15">
        <v>17</v>
      </c>
      <c r="I16" s="15">
        <v>17</v>
      </c>
      <c r="J16" s="15">
        <v>17</v>
      </c>
      <c r="K16" s="15">
        <v>17.5</v>
      </c>
      <c r="L16" s="15">
        <v>16.5</v>
      </c>
      <c r="M16" s="17">
        <f>SUM(H16:L16) - MIN(H16:L16) - MAX(H16:L16)</f>
        <v>51</v>
      </c>
      <c r="N16" s="17">
        <f>IF(G16:G75 &gt; 120,60 + ((120-G16) * 1.2),60 - ((120-G16) * 1.2))</f>
        <v>45.6</v>
      </c>
      <c r="O16" s="18">
        <f>SUM(M16:N16)</f>
        <v>96.6</v>
      </c>
    </row>
    <row r="17" spans="1:15" x14ac:dyDescent="0.25">
      <c r="A17" s="13" t="s">
        <v>30</v>
      </c>
      <c r="B17" s="14" t="s">
        <v>31</v>
      </c>
      <c r="C17" s="15" t="str">
        <f>IF(D17&lt;2005,"senior","junior")</f>
        <v>senior</v>
      </c>
      <c r="D17" s="15">
        <v>2002</v>
      </c>
      <c r="E17" s="15" t="s">
        <v>32</v>
      </c>
      <c r="F17" s="15" t="s">
        <v>18</v>
      </c>
      <c r="G17" s="16">
        <v>107.5</v>
      </c>
      <c r="H17" s="15">
        <v>16.5</v>
      </c>
      <c r="I17" s="15">
        <v>18</v>
      </c>
      <c r="J17" s="15">
        <v>16.5</v>
      </c>
      <c r="K17" s="15">
        <v>17</v>
      </c>
      <c r="L17" s="15">
        <v>19</v>
      </c>
      <c r="M17" s="17">
        <f>SUM(H17:L17) - MIN(H17:L17) - MAX(H17:L17)</f>
        <v>51.5</v>
      </c>
      <c r="N17" s="17">
        <f>IF(G17:G76 &gt; 120,60 + ((120-G17) * 1.2),60 - ((120-G17) * 1.2))</f>
        <v>45</v>
      </c>
      <c r="O17" s="18">
        <f>SUM(M17:N17)</f>
        <v>96.5</v>
      </c>
    </row>
    <row r="18" spans="1:15" x14ac:dyDescent="0.25">
      <c r="A18" s="13" t="s">
        <v>125</v>
      </c>
      <c r="B18" s="14" t="s">
        <v>126</v>
      </c>
      <c r="C18" s="15" t="str">
        <f>IF(D18&lt;2005,"senior","junior")</f>
        <v>senior</v>
      </c>
      <c r="D18" s="15">
        <v>2000</v>
      </c>
      <c r="E18" s="15" t="s">
        <v>32</v>
      </c>
      <c r="F18" s="15" t="s">
        <v>18</v>
      </c>
      <c r="G18" s="16">
        <v>104.5</v>
      </c>
      <c r="H18" s="15">
        <v>17.5</v>
      </c>
      <c r="I18" s="15">
        <v>16.5</v>
      </c>
      <c r="J18" s="15">
        <v>17.5</v>
      </c>
      <c r="K18" s="15">
        <v>17</v>
      </c>
      <c r="L18" s="15">
        <v>17</v>
      </c>
      <c r="M18" s="17">
        <f>SUM(H18:L18) - MIN(H18:L18) - MAX(H18:L18)</f>
        <v>51.5</v>
      </c>
      <c r="N18" s="17">
        <f>IF(G18:G77 &gt; 120,60 + ((120-G18) * 1.2),60 - ((120-G18) * 1.2))</f>
        <v>41.400000000000006</v>
      </c>
      <c r="O18" s="18">
        <f>SUM(M18:N18)</f>
        <v>92.9</v>
      </c>
    </row>
    <row r="19" spans="1:15" x14ac:dyDescent="0.25">
      <c r="A19" s="13" t="s">
        <v>106</v>
      </c>
      <c r="B19" s="14" t="s">
        <v>107</v>
      </c>
      <c r="C19" s="15" t="str">
        <f>IF(D19&lt;2005,"senior","junior")</f>
        <v>senior</v>
      </c>
      <c r="D19" s="15">
        <v>1996</v>
      </c>
      <c r="E19" s="15" t="s">
        <v>29</v>
      </c>
      <c r="F19" s="15" t="s">
        <v>18</v>
      </c>
      <c r="G19" s="16">
        <v>103</v>
      </c>
      <c r="H19" s="15">
        <v>18</v>
      </c>
      <c r="I19" s="15">
        <v>18</v>
      </c>
      <c r="J19" s="15">
        <v>18</v>
      </c>
      <c r="K19" s="15">
        <v>16</v>
      </c>
      <c r="L19" s="15">
        <v>17</v>
      </c>
      <c r="M19" s="17">
        <f>SUM(H19:L19) - MIN(H19:L19) - MAX(H19:L19)</f>
        <v>53</v>
      </c>
      <c r="N19" s="17">
        <f>IF(G19:G78 &gt; 120,60 + ((120-G19) * 1.2),60 - ((120-G19) * 1.2))</f>
        <v>39.6</v>
      </c>
      <c r="O19" s="18">
        <f>SUM(M19:N19)</f>
        <v>92.6</v>
      </c>
    </row>
    <row r="20" spans="1:15" x14ac:dyDescent="0.25">
      <c r="A20" s="13" t="s">
        <v>120</v>
      </c>
      <c r="B20" s="14" t="s">
        <v>113</v>
      </c>
      <c r="C20" s="15" t="str">
        <f>IF(D20&lt;2005,"senior","junior")</f>
        <v>senior</v>
      </c>
      <c r="D20" s="15">
        <v>1995</v>
      </c>
      <c r="E20" s="15" t="s">
        <v>21</v>
      </c>
      <c r="F20" s="15" t="s">
        <v>14</v>
      </c>
      <c r="G20" s="16">
        <v>104.5</v>
      </c>
      <c r="H20" s="15">
        <v>17</v>
      </c>
      <c r="I20" s="15">
        <v>16.5</v>
      </c>
      <c r="J20" s="15">
        <v>15.5</v>
      </c>
      <c r="K20" s="15">
        <v>17.5</v>
      </c>
      <c r="L20" s="15">
        <v>17.5</v>
      </c>
      <c r="M20" s="17">
        <f>SUM(H20:L20) - MIN(H20:L20) - MAX(H20:L20)</f>
        <v>51</v>
      </c>
      <c r="N20" s="17">
        <f>IF(G20:G79 &gt; 120,60 + ((120-G20) * 1.2),60 - ((120-G20) * 1.2))</f>
        <v>41.400000000000006</v>
      </c>
      <c r="O20" s="18">
        <f>SUM(M20:N20)</f>
        <v>92.4</v>
      </c>
    </row>
    <row r="21" spans="1:15" x14ac:dyDescent="0.25">
      <c r="A21" s="13" t="s">
        <v>127</v>
      </c>
      <c r="B21" s="14" t="s">
        <v>128</v>
      </c>
      <c r="C21" s="15" t="str">
        <f>IF(D21&lt;2005,"senior","junior")</f>
        <v>senior</v>
      </c>
      <c r="D21" s="15">
        <v>2001</v>
      </c>
      <c r="E21" s="15" t="s">
        <v>29</v>
      </c>
      <c r="F21" s="15" t="s">
        <v>18</v>
      </c>
      <c r="G21" s="16">
        <v>105</v>
      </c>
      <c r="H21" s="15">
        <v>17</v>
      </c>
      <c r="I21" s="15">
        <v>16</v>
      </c>
      <c r="J21" s="15">
        <v>18</v>
      </c>
      <c r="K21" s="15">
        <v>16</v>
      </c>
      <c r="L21" s="15">
        <v>17</v>
      </c>
      <c r="M21" s="17">
        <f>SUM(H21:L21) - MIN(H21:L21) - MAX(H21:L21)</f>
        <v>50</v>
      </c>
      <c r="N21" s="17">
        <f>IF(G21:G80 &gt; 120,60 + ((120-G21) * 1.2),60 - ((120-G21) * 1.2))</f>
        <v>42</v>
      </c>
      <c r="O21" s="18">
        <f>SUM(M21:N21)</f>
        <v>92</v>
      </c>
    </row>
    <row r="22" spans="1:15" x14ac:dyDescent="0.25">
      <c r="A22" s="13" t="s">
        <v>116</v>
      </c>
      <c r="B22" s="14" t="s">
        <v>117</v>
      </c>
      <c r="C22" s="15" t="str">
        <f>IF(D22&lt;2005,"senior","junior")</f>
        <v>senior</v>
      </c>
      <c r="D22" s="15">
        <v>1995</v>
      </c>
      <c r="E22" s="15" t="s">
        <v>59</v>
      </c>
      <c r="F22" s="15" t="s">
        <v>14</v>
      </c>
      <c r="G22" s="16">
        <v>102.5</v>
      </c>
      <c r="H22" s="15">
        <v>16.5</v>
      </c>
      <c r="I22" s="15">
        <v>17</v>
      </c>
      <c r="J22" s="15">
        <v>17.5</v>
      </c>
      <c r="K22" s="15">
        <v>18</v>
      </c>
      <c r="L22" s="15">
        <v>18</v>
      </c>
      <c r="M22" s="17">
        <f>SUM(H22:L22) - MIN(H22:L22) - MAX(H22:L22)</f>
        <v>52.5</v>
      </c>
      <c r="N22" s="17">
        <f>IF(G22:G81 &gt; 120,60 + ((120-G22) * 1.2),60 - ((120-G22) * 1.2))</f>
        <v>39</v>
      </c>
      <c r="O22" s="18">
        <f>SUM(M22:N22)</f>
        <v>91.5</v>
      </c>
    </row>
    <row r="23" spans="1:15" x14ac:dyDescent="0.25">
      <c r="A23" s="13" t="s">
        <v>35</v>
      </c>
      <c r="B23" s="14" t="s">
        <v>36</v>
      </c>
      <c r="C23" s="15" t="str">
        <f>IF(D23&lt;2005,"senior","junior")</f>
        <v>senior</v>
      </c>
      <c r="D23" s="15">
        <v>2003</v>
      </c>
      <c r="E23" s="15" t="s">
        <v>37</v>
      </c>
      <c r="F23" s="15" t="s">
        <v>18</v>
      </c>
      <c r="G23" s="16">
        <v>104.5</v>
      </c>
      <c r="H23" s="15">
        <v>17.5</v>
      </c>
      <c r="I23" s="15">
        <v>17.5</v>
      </c>
      <c r="J23" s="15">
        <v>15.5</v>
      </c>
      <c r="K23" s="15">
        <v>16</v>
      </c>
      <c r="L23" s="15">
        <v>16.5</v>
      </c>
      <c r="M23" s="17">
        <f>SUM(H23:L23) - MIN(H23:L23) - MAX(H23:L23)</f>
        <v>50</v>
      </c>
      <c r="N23" s="17">
        <f>IF(G23:G82 &gt; 120,60 + ((120-G23) * 1.2),60 - ((120-G23) * 1.2))</f>
        <v>41.400000000000006</v>
      </c>
      <c r="O23" s="18">
        <f>SUM(M23:N23)</f>
        <v>91.4</v>
      </c>
    </row>
    <row r="24" spans="1:15" x14ac:dyDescent="0.25">
      <c r="A24" s="13" t="s">
        <v>132</v>
      </c>
      <c r="B24" s="14" t="s">
        <v>133</v>
      </c>
      <c r="C24" s="15" t="str">
        <f>IF(D24&lt;2005,"senior","junior")</f>
        <v>senior</v>
      </c>
      <c r="D24" s="15">
        <v>2003</v>
      </c>
      <c r="E24" s="15" t="s">
        <v>13</v>
      </c>
      <c r="F24" s="15" t="s">
        <v>18</v>
      </c>
      <c r="G24" s="16">
        <v>103.5</v>
      </c>
      <c r="H24" s="15">
        <v>18</v>
      </c>
      <c r="I24" s="15">
        <v>18</v>
      </c>
      <c r="J24" s="15">
        <v>17</v>
      </c>
      <c r="K24" s="15">
        <v>15.5</v>
      </c>
      <c r="L24" s="15">
        <v>15.5</v>
      </c>
      <c r="M24" s="17">
        <f>SUM(H24:L24) - MIN(H24:L24) - MAX(H24:L24)</f>
        <v>50.5</v>
      </c>
      <c r="N24" s="17">
        <f>IF(G24:G83 &gt; 120,60 + ((120-G24) * 1.2),60 - ((120-G24) * 1.2))</f>
        <v>40.200000000000003</v>
      </c>
      <c r="O24" s="18">
        <f>SUM(M24:N24)</f>
        <v>90.7</v>
      </c>
    </row>
    <row r="25" spans="1:15" x14ac:dyDescent="0.25">
      <c r="A25" s="13" t="s">
        <v>53</v>
      </c>
      <c r="B25" s="14" t="s">
        <v>54</v>
      </c>
      <c r="C25" s="15" t="str">
        <f>IF(D25&lt;2005,"senior","junior")</f>
        <v>senior</v>
      </c>
      <c r="D25" s="15">
        <v>2004</v>
      </c>
      <c r="E25" s="15" t="s">
        <v>13</v>
      </c>
      <c r="F25" s="15" t="s">
        <v>18</v>
      </c>
      <c r="G25" s="16">
        <v>104.5</v>
      </c>
      <c r="H25" s="15">
        <v>15.5</v>
      </c>
      <c r="I25" s="15">
        <v>16</v>
      </c>
      <c r="J25" s="15">
        <v>16.5</v>
      </c>
      <c r="K25" s="15">
        <v>16.5</v>
      </c>
      <c r="L25" s="15">
        <v>17</v>
      </c>
      <c r="M25" s="17">
        <f>SUM(H25:L25) - MIN(H25:L25) - MAX(H25:L25)</f>
        <v>49</v>
      </c>
      <c r="N25" s="17">
        <f>IF(G25:G84 &gt; 120,60 + ((120-G25) * 1.2),60 - ((120-G25) * 1.2))</f>
        <v>41.400000000000006</v>
      </c>
      <c r="O25" s="18">
        <f>SUM(M25:N25)</f>
        <v>90.4</v>
      </c>
    </row>
    <row r="26" spans="1:15" x14ac:dyDescent="0.25">
      <c r="A26" s="13" t="s">
        <v>70</v>
      </c>
      <c r="B26" s="14" t="s">
        <v>71</v>
      </c>
      <c r="C26" s="15" t="str">
        <f>IF(D26&lt;2005,"senior","junior")</f>
        <v>senior</v>
      </c>
      <c r="D26" s="15">
        <v>2002</v>
      </c>
      <c r="E26" s="15" t="s">
        <v>72</v>
      </c>
      <c r="F26" s="15" t="s">
        <v>14</v>
      </c>
      <c r="G26" s="16">
        <v>102</v>
      </c>
      <c r="H26" s="15">
        <v>16</v>
      </c>
      <c r="I26" s="15">
        <v>18</v>
      </c>
      <c r="J26" s="15">
        <v>17</v>
      </c>
      <c r="K26" s="15">
        <v>17</v>
      </c>
      <c r="L26" s="15">
        <v>18</v>
      </c>
      <c r="M26" s="17">
        <f>SUM(H26:L26) - MIN(H26:L26) - MAX(H26:L26)</f>
        <v>52</v>
      </c>
      <c r="N26" s="17">
        <f>IF(G26:G85 &gt; 120,60 + ((120-G26) * 1.2),60 - ((120-G26) * 1.2))</f>
        <v>38.400000000000006</v>
      </c>
      <c r="O26" s="18">
        <f>SUM(M26:N26)</f>
        <v>90.4</v>
      </c>
    </row>
    <row r="27" spans="1:15" x14ac:dyDescent="0.25">
      <c r="A27" s="13" t="s">
        <v>130</v>
      </c>
      <c r="B27" s="14" t="s">
        <v>131</v>
      </c>
      <c r="C27" s="15" t="str">
        <f>IF(D27&lt;2005,"senior","junior")</f>
        <v>senior</v>
      </c>
      <c r="D27" s="15">
        <v>2001</v>
      </c>
      <c r="E27" s="15" t="s">
        <v>37</v>
      </c>
      <c r="F27" s="15" t="s">
        <v>18</v>
      </c>
      <c r="G27" s="16">
        <v>104</v>
      </c>
      <c r="H27" s="15">
        <v>17.5</v>
      </c>
      <c r="I27" s="15">
        <v>16</v>
      </c>
      <c r="J27" s="15">
        <v>16.5</v>
      </c>
      <c r="K27" s="15">
        <v>15.5</v>
      </c>
      <c r="L27" s="15">
        <v>16.5</v>
      </c>
      <c r="M27" s="17">
        <f>SUM(H27:L27) - MIN(H27:L27) - MAX(H27:L27)</f>
        <v>49</v>
      </c>
      <c r="N27" s="17">
        <f>IF(G27:G86 &gt; 120,60 + ((120-G27) * 1.2),60 - ((120-G27) * 1.2))</f>
        <v>40.799999999999997</v>
      </c>
      <c r="O27" s="18">
        <f>SUM(M27:N27)</f>
        <v>89.8</v>
      </c>
    </row>
    <row r="28" spans="1:15" x14ac:dyDescent="0.25">
      <c r="A28" s="13" t="s">
        <v>120</v>
      </c>
      <c r="B28" s="14" t="s">
        <v>121</v>
      </c>
      <c r="C28" s="15" t="str">
        <f>IF(D28&lt;2005,"senior","junior")</f>
        <v>senior</v>
      </c>
      <c r="D28" s="15">
        <v>1998</v>
      </c>
      <c r="E28" s="15" t="s">
        <v>21</v>
      </c>
      <c r="F28" s="15" t="s">
        <v>18</v>
      </c>
      <c r="G28" s="16">
        <v>104.5</v>
      </c>
      <c r="H28" s="15">
        <v>15.5</v>
      </c>
      <c r="I28" s="15">
        <v>18</v>
      </c>
      <c r="J28" s="15">
        <v>15.5</v>
      </c>
      <c r="K28" s="15">
        <v>15.5</v>
      </c>
      <c r="L28" s="15">
        <v>16</v>
      </c>
      <c r="M28" s="17">
        <f>SUM(H28:L28) - MIN(H28:L28) - MAX(H28:L28)</f>
        <v>47</v>
      </c>
      <c r="N28" s="17">
        <f>IF(G28:G87 &gt; 120,60 + ((120-G28) * 1.2),60 - ((120-G28) * 1.2))</f>
        <v>41.400000000000006</v>
      </c>
      <c r="O28" s="18">
        <f>SUM(M28:N28)</f>
        <v>88.4</v>
      </c>
    </row>
    <row r="29" spans="1:15" x14ac:dyDescent="0.25">
      <c r="A29" s="13" t="s">
        <v>75</v>
      </c>
      <c r="B29" s="14" t="s">
        <v>74</v>
      </c>
      <c r="C29" s="15" t="str">
        <f>IF(D29&lt;2005,"senior","junior")</f>
        <v>junior</v>
      </c>
      <c r="D29" s="15">
        <v>2005</v>
      </c>
      <c r="E29" s="15" t="s">
        <v>21</v>
      </c>
      <c r="F29" s="15" t="s">
        <v>18</v>
      </c>
      <c r="G29" s="16">
        <v>103.5</v>
      </c>
      <c r="H29" s="15">
        <v>15.5</v>
      </c>
      <c r="I29" s="15">
        <v>15.5</v>
      </c>
      <c r="J29" s="15">
        <v>17</v>
      </c>
      <c r="K29" s="15">
        <v>15.5</v>
      </c>
      <c r="L29" s="15">
        <v>18</v>
      </c>
      <c r="M29" s="17">
        <f>SUM(H29:L29) - MIN(H29:L29) - MAX(H29:L29)</f>
        <v>48</v>
      </c>
      <c r="N29" s="17">
        <f>IF(G29:G88 &gt; 120,60 + ((120-G29) * 1.2),60 - ((120-G29) * 1.2))</f>
        <v>40.200000000000003</v>
      </c>
      <c r="O29" s="18">
        <f>SUM(M29:N29)</f>
        <v>88.2</v>
      </c>
    </row>
    <row r="30" spans="1:15" x14ac:dyDescent="0.25">
      <c r="A30" s="13" t="s">
        <v>134</v>
      </c>
      <c r="B30" s="14" t="s">
        <v>135</v>
      </c>
      <c r="C30" s="15" t="str">
        <f>IF(D30&lt;2005,"senior","junior")</f>
        <v>senior</v>
      </c>
      <c r="D30" s="15">
        <v>1999</v>
      </c>
      <c r="E30" s="15" t="s">
        <v>98</v>
      </c>
      <c r="F30" s="15" t="s">
        <v>14</v>
      </c>
      <c r="G30" s="16">
        <v>99.5</v>
      </c>
      <c r="H30" s="15">
        <v>17.5</v>
      </c>
      <c r="I30" s="15">
        <v>17.5</v>
      </c>
      <c r="J30" s="15">
        <v>17.5</v>
      </c>
      <c r="K30" s="15">
        <v>17</v>
      </c>
      <c r="L30" s="15">
        <v>18</v>
      </c>
      <c r="M30" s="17">
        <f>SUM(H30:L30) - MIN(H30:L30) - MAX(H30:L30)</f>
        <v>52.5</v>
      </c>
      <c r="N30" s="17">
        <f>IF(G30:G89 &gt; 120,60 + ((120-G30) * 1.2),60 - ((120-G30) * 1.2))</f>
        <v>35.400000000000006</v>
      </c>
      <c r="O30" s="18">
        <f>SUM(M30:N30)</f>
        <v>87.9</v>
      </c>
    </row>
    <row r="31" spans="1:15" x14ac:dyDescent="0.25">
      <c r="A31" s="13" t="s">
        <v>19</v>
      </c>
      <c r="B31" s="14" t="s">
        <v>20</v>
      </c>
      <c r="C31" s="15" t="str">
        <f>IF(D31&lt;2005,"senior","junior")</f>
        <v>senior</v>
      </c>
      <c r="D31" s="15">
        <v>1997</v>
      </c>
      <c r="E31" s="15" t="s">
        <v>21</v>
      </c>
      <c r="F31" s="15" t="s">
        <v>14</v>
      </c>
      <c r="G31" s="16">
        <v>100</v>
      </c>
      <c r="H31" s="15">
        <v>17</v>
      </c>
      <c r="I31" s="15">
        <v>17.5</v>
      </c>
      <c r="J31" s="15">
        <v>17</v>
      </c>
      <c r="K31" s="15">
        <v>16</v>
      </c>
      <c r="L31" s="15">
        <v>18</v>
      </c>
      <c r="M31" s="17">
        <f>SUM(H31:L31) - MIN(H31:L31) - MAX(H31:L31)</f>
        <v>51.5</v>
      </c>
      <c r="N31" s="17">
        <f>IF(G31:G90 &gt; 120,60 + ((120-G31) * 1.2),60 - ((120-G31) * 1.2))</f>
        <v>36</v>
      </c>
      <c r="O31" s="18">
        <f>SUM(M31:N31)</f>
        <v>87.5</v>
      </c>
    </row>
    <row r="32" spans="1:15" x14ac:dyDescent="0.25">
      <c r="A32" s="13" t="s">
        <v>122</v>
      </c>
      <c r="B32" s="14" t="s">
        <v>67</v>
      </c>
      <c r="C32" s="15" t="str">
        <f>IF(D32&lt;2005,"senior","junior")</f>
        <v>senior</v>
      </c>
      <c r="D32" s="15">
        <v>1999</v>
      </c>
      <c r="E32" s="15" t="s">
        <v>37</v>
      </c>
      <c r="F32" s="15" t="s">
        <v>18</v>
      </c>
      <c r="G32" s="16">
        <v>102</v>
      </c>
      <c r="H32" s="15">
        <v>15.5</v>
      </c>
      <c r="I32" s="15">
        <v>17.5</v>
      </c>
      <c r="J32" s="15">
        <v>16</v>
      </c>
      <c r="K32" s="15">
        <v>15.5</v>
      </c>
      <c r="L32" s="15">
        <v>17</v>
      </c>
      <c r="M32" s="17">
        <f>SUM(H32:L32) - MIN(H32:L32) - MAX(H32:L32)</f>
        <v>48.5</v>
      </c>
      <c r="N32" s="17">
        <f>IF(G32:G91 &gt; 120,60 + ((120-G32) * 1.2),60 - ((120-G32) * 1.2))</f>
        <v>38.400000000000006</v>
      </c>
      <c r="O32" s="18">
        <f>SUM(M32:N32)</f>
        <v>86.9</v>
      </c>
    </row>
    <row r="33" spans="1:15" x14ac:dyDescent="0.25">
      <c r="A33" s="13" t="s">
        <v>87</v>
      </c>
      <c r="B33" s="14" t="s">
        <v>88</v>
      </c>
      <c r="C33" s="15" t="str">
        <f>IF(D33&lt;2005,"senior","junior")</f>
        <v>senior</v>
      </c>
      <c r="D33" s="15">
        <v>1995</v>
      </c>
      <c r="E33" s="15" t="s">
        <v>29</v>
      </c>
      <c r="F33" s="15" t="s">
        <v>18</v>
      </c>
      <c r="G33" s="16">
        <v>101</v>
      </c>
      <c r="H33" s="15">
        <v>17.5</v>
      </c>
      <c r="I33" s="15">
        <v>16.5</v>
      </c>
      <c r="J33" s="15">
        <v>16.5</v>
      </c>
      <c r="K33" s="15">
        <v>16</v>
      </c>
      <c r="L33" s="15">
        <v>16.5</v>
      </c>
      <c r="M33" s="17">
        <f>SUM(H33:L33) - MIN(H33:L33) - MAX(H33:L33)</f>
        <v>49.5</v>
      </c>
      <c r="N33" s="17">
        <f>IF(G33:G92 &gt; 120,60 + ((120-G33) * 1.2),60 - ((120-G33) * 1.2))</f>
        <v>37.200000000000003</v>
      </c>
      <c r="O33" s="18">
        <f>SUM(M33:N33)</f>
        <v>86.7</v>
      </c>
    </row>
    <row r="34" spans="1:15" x14ac:dyDescent="0.25">
      <c r="A34" s="13" t="s">
        <v>27</v>
      </c>
      <c r="B34" s="14" t="s">
        <v>28</v>
      </c>
      <c r="C34" s="15" t="str">
        <f>IF(D34&lt;2005,"senior","junior")</f>
        <v>senior</v>
      </c>
      <c r="D34" s="15">
        <v>2002</v>
      </c>
      <c r="E34" s="15" t="s">
        <v>29</v>
      </c>
      <c r="F34" s="15" t="s">
        <v>18</v>
      </c>
      <c r="G34" s="16">
        <v>100</v>
      </c>
      <c r="H34" s="15">
        <v>17.5</v>
      </c>
      <c r="I34" s="15">
        <v>17</v>
      </c>
      <c r="J34" s="15">
        <v>16</v>
      </c>
      <c r="K34" s="15">
        <v>17.5</v>
      </c>
      <c r="L34" s="15">
        <v>16</v>
      </c>
      <c r="M34" s="17">
        <f>SUM(H34:L34) - MIN(H34:L34) - MAX(H34:L34)</f>
        <v>50.5</v>
      </c>
      <c r="N34" s="17">
        <f>IF(G34:G93 &gt; 120,60 + ((120-G34) * 1.2),60 - ((120-G34) * 1.2))</f>
        <v>36</v>
      </c>
      <c r="O34" s="18">
        <f>SUM(M34:N34)</f>
        <v>86.5</v>
      </c>
    </row>
    <row r="35" spans="1:15" x14ac:dyDescent="0.25">
      <c r="A35" s="13" t="s">
        <v>41</v>
      </c>
      <c r="B35" s="14" t="s">
        <v>42</v>
      </c>
      <c r="C35" s="15" t="str">
        <f>IF(D35&lt;2005,"senior","junior")</f>
        <v>senior</v>
      </c>
      <c r="D35" s="15">
        <v>2000</v>
      </c>
      <c r="E35" s="15" t="s">
        <v>17</v>
      </c>
      <c r="F35" s="15" t="s">
        <v>18</v>
      </c>
      <c r="G35" s="16">
        <v>100.5</v>
      </c>
      <c r="H35" s="15">
        <v>16.5</v>
      </c>
      <c r="I35" s="15">
        <v>17</v>
      </c>
      <c r="J35" s="15">
        <v>15.5</v>
      </c>
      <c r="K35" s="15">
        <v>16</v>
      </c>
      <c r="L35" s="15">
        <v>16.5</v>
      </c>
      <c r="M35" s="17">
        <f>SUM(H35:L35) - MIN(H35:L35) - MAX(H35:L35)</f>
        <v>49</v>
      </c>
      <c r="N35" s="17">
        <f>IF(G35:G94 &gt; 120,60 + ((120-G35) * 1.2),60 - ((120-G35) * 1.2))</f>
        <v>36.6</v>
      </c>
      <c r="O35" s="18">
        <f>SUM(M35:N35)</f>
        <v>85.6</v>
      </c>
    </row>
    <row r="36" spans="1:15" x14ac:dyDescent="0.25">
      <c r="A36" s="13" t="s">
        <v>57</v>
      </c>
      <c r="B36" s="14" t="s">
        <v>58</v>
      </c>
      <c r="C36" s="15" t="str">
        <f>IF(D36&lt;2005,"senior","junior")</f>
        <v>senior</v>
      </c>
      <c r="D36" s="15">
        <v>2001</v>
      </c>
      <c r="E36" s="15" t="s">
        <v>59</v>
      </c>
      <c r="F36" s="15" t="s">
        <v>14</v>
      </c>
      <c r="G36" s="16">
        <v>100.5</v>
      </c>
      <c r="H36" s="15">
        <v>18</v>
      </c>
      <c r="I36" s="15">
        <v>16</v>
      </c>
      <c r="J36" s="15">
        <v>17</v>
      </c>
      <c r="K36" s="15">
        <v>16</v>
      </c>
      <c r="L36" s="15">
        <v>15.5</v>
      </c>
      <c r="M36" s="17">
        <f>SUM(H36:L36) - MIN(H36:L36) - MAX(H36:L36)</f>
        <v>49</v>
      </c>
      <c r="N36" s="17">
        <f>IF(G36:G95 &gt; 120,60 + ((120-G36) * 1.2),60 - ((120-G36) * 1.2))</f>
        <v>36.6</v>
      </c>
      <c r="O36" s="18">
        <f>SUM(M36:N36)</f>
        <v>85.6</v>
      </c>
    </row>
    <row r="37" spans="1:15" x14ac:dyDescent="0.25">
      <c r="A37" s="13" t="s">
        <v>104</v>
      </c>
      <c r="B37" s="14" t="s">
        <v>105</v>
      </c>
      <c r="C37" s="15" t="str">
        <f>IF(D37&lt;2005,"senior","junior")</f>
        <v>senior</v>
      </c>
      <c r="D37" s="15">
        <v>1992</v>
      </c>
      <c r="E37" s="15" t="s">
        <v>32</v>
      </c>
      <c r="F37" s="15" t="s">
        <v>18</v>
      </c>
      <c r="G37" s="16">
        <v>99.5</v>
      </c>
      <c r="H37" s="15">
        <v>16.5</v>
      </c>
      <c r="I37" s="15">
        <v>15.5</v>
      </c>
      <c r="J37" s="15">
        <v>17.5</v>
      </c>
      <c r="K37" s="15">
        <v>17.5</v>
      </c>
      <c r="L37" s="15">
        <v>16</v>
      </c>
      <c r="M37" s="17">
        <f>SUM(H37:L37) - MIN(H37:L37) - MAX(H37:L37)</f>
        <v>50</v>
      </c>
      <c r="N37" s="17">
        <f>IF(G37:G96 &gt; 120,60 + ((120-G37) * 1.2),60 - ((120-G37) * 1.2))</f>
        <v>35.400000000000006</v>
      </c>
      <c r="O37" s="18">
        <f>SUM(M37:N37)</f>
        <v>85.4</v>
      </c>
    </row>
    <row r="38" spans="1:15" x14ac:dyDescent="0.25">
      <c r="A38" s="13" t="s">
        <v>64</v>
      </c>
      <c r="B38" s="14" t="s">
        <v>65</v>
      </c>
      <c r="C38" s="15" t="str">
        <f>IF(D38&lt;2005,"senior","junior")</f>
        <v>senior</v>
      </c>
      <c r="D38" s="15">
        <v>1992</v>
      </c>
      <c r="E38" s="15" t="s">
        <v>40</v>
      </c>
      <c r="F38" s="15" t="s">
        <v>14</v>
      </c>
      <c r="G38" s="16">
        <v>96</v>
      </c>
      <c r="H38" s="15">
        <v>17.5</v>
      </c>
      <c r="I38" s="15">
        <v>17.5</v>
      </c>
      <c r="J38" s="15">
        <v>17</v>
      </c>
      <c r="K38" s="15">
        <v>18</v>
      </c>
      <c r="L38" s="15">
        <v>17.5</v>
      </c>
      <c r="M38" s="17">
        <f>SUM(H38:L38) - MIN(H38:L38) - MAX(H38:L38)</f>
        <v>52.5</v>
      </c>
      <c r="N38" s="17">
        <f>IF(G38:G97 &gt; 120,60 + ((120-G38) * 1.2),60 - ((120-G38) * 1.2))</f>
        <v>31.200000000000003</v>
      </c>
      <c r="O38" s="18">
        <f>SUM(M38:N38)</f>
        <v>83.7</v>
      </c>
    </row>
    <row r="39" spans="1:15" x14ac:dyDescent="0.25">
      <c r="A39" s="13" t="s">
        <v>95</v>
      </c>
      <c r="B39" s="14" t="s">
        <v>31</v>
      </c>
      <c r="C39" s="15" t="str">
        <f>IF(D39&lt;2005,"senior","junior")</f>
        <v>senior</v>
      </c>
      <c r="D39" s="15">
        <v>2002</v>
      </c>
      <c r="E39" s="15" t="s">
        <v>32</v>
      </c>
      <c r="F39" s="15" t="s">
        <v>14</v>
      </c>
      <c r="G39" s="16">
        <v>95.5</v>
      </c>
      <c r="H39" s="15">
        <v>17</v>
      </c>
      <c r="I39" s="15">
        <v>17.5</v>
      </c>
      <c r="J39" s="15">
        <v>17.5</v>
      </c>
      <c r="K39" s="15">
        <v>15.5</v>
      </c>
      <c r="L39" s="15">
        <v>18</v>
      </c>
      <c r="M39" s="17">
        <f>SUM(H39:L39) - MIN(H39:L39) - MAX(H39:L39)</f>
        <v>52</v>
      </c>
      <c r="N39" s="17">
        <f>IF(G39:G98 &gt; 120,60 + ((120-G39) * 1.2),60 - ((120-G39) * 1.2))</f>
        <v>30.6</v>
      </c>
      <c r="O39" s="18">
        <f>SUM(M39:N39)</f>
        <v>82.6</v>
      </c>
    </row>
    <row r="40" spans="1:15" x14ac:dyDescent="0.25">
      <c r="A40" s="13" t="s">
        <v>73</v>
      </c>
      <c r="B40" s="14" t="s">
        <v>74</v>
      </c>
      <c r="C40" s="15" t="str">
        <f>IF(D40&lt;2005,"senior","junior")</f>
        <v>senior</v>
      </c>
      <c r="D40" s="15">
        <v>2003</v>
      </c>
      <c r="E40" s="15" t="s">
        <v>21</v>
      </c>
      <c r="F40" s="15" t="s">
        <v>14</v>
      </c>
      <c r="G40" s="16">
        <v>97</v>
      </c>
      <c r="H40" s="15">
        <v>15.5</v>
      </c>
      <c r="I40" s="15">
        <v>16</v>
      </c>
      <c r="J40" s="15">
        <v>17</v>
      </c>
      <c r="K40" s="15">
        <v>17.5</v>
      </c>
      <c r="L40" s="15">
        <v>16.5</v>
      </c>
      <c r="M40" s="17">
        <f>SUM(H40:L40) - MIN(H40:L40) - MAX(H40:L40)</f>
        <v>49.5</v>
      </c>
      <c r="N40" s="17">
        <f>IF(G40:G99 &gt; 120,60 + ((120-G40) * 1.2),60 - ((120-G40) * 1.2))</f>
        <v>32.400000000000006</v>
      </c>
      <c r="O40" s="18">
        <f>SUM(M40:N40)</f>
        <v>81.900000000000006</v>
      </c>
    </row>
    <row r="41" spans="1:15" x14ac:dyDescent="0.25">
      <c r="A41" s="13" t="s">
        <v>11</v>
      </c>
      <c r="B41" s="14" t="s">
        <v>12</v>
      </c>
      <c r="C41" s="15" t="str">
        <f>IF(D41&lt;2005,"senior","junior")</f>
        <v>senior</v>
      </c>
      <c r="D41" s="15">
        <v>2004</v>
      </c>
      <c r="E41" s="15" t="s">
        <v>13</v>
      </c>
      <c r="F41" s="15" t="s">
        <v>14</v>
      </c>
      <c r="G41" s="16">
        <v>97.5</v>
      </c>
      <c r="H41" s="15">
        <v>18</v>
      </c>
      <c r="I41" s="15">
        <v>17</v>
      </c>
      <c r="J41" s="15">
        <v>15.5</v>
      </c>
      <c r="K41" s="15">
        <v>15.5</v>
      </c>
      <c r="L41" s="15">
        <v>16</v>
      </c>
      <c r="M41" s="17">
        <f>SUM(H41:L41) - MIN(H41:L41) - MAX(H41:L41)</f>
        <v>48.5</v>
      </c>
      <c r="N41" s="17">
        <f>IF(G41:G100 &gt; 120,60 + ((120-G41) * 1.2),60 - ((120-G41) * 1.2))</f>
        <v>33</v>
      </c>
      <c r="O41" s="18">
        <f>SUM(M41:N41)</f>
        <v>81.5</v>
      </c>
    </row>
    <row r="42" spans="1:15" x14ac:dyDescent="0.25">
      <c r="A42" s="13" t="s">
        <v>89</v>
      </c>
      <c r="B42" s="14" t="s">
        <v>90</v>
      </c>
      <c r="C42" s="15" t="str">
        <f>IF(D42&lt;2005,"senior","junior")</f>
        <v>senior</v>
      </c>
      <c r="D42" s="15">
        <v>1999</v>
      </c>
      <c r="E42" s="15" t="s">
        <v>13</v>
      </c>
      <c r="F42" s="15" t="s">
        <v>14</v>
      </c>
      <c r="G42" s="16">
        <v>96</v>
      </c>
      <c r="H42" s="15">
        <v>15.5</v>
      </c>
      <c r="I42" s="15">
        <v>16.5</v>
      </c>
      <c r="J42" s="15">
        <v>17</v>
      </c>
      <c r="K42" s="15">
        <v>17</v>
      </c>
      <c r="L42" s="15">
        <v>16.5</v>
      </c>
      <c r="M42" s="17">
        <f>SUM(H42:L42) - MIN(H42:L42) - MAX(H42:L42)</f>
        <v>50</v>
      </c>
      <c r="N42" s="17">
        <f>IF(G42:G101 &gt; 120,60 + ((120-G42) * 1.2),60 - ((120-G42) * 1.2))</f>
        <v>31.200000000000003</v>
      </c>
      <c r="O42" s="18">
        <f>SUM(M42:N42)</f>
        <v>81.2</v>
      </c>
    </row>
    <row r="43" spans="1:15" x14ac:dyDescent="0.25">
      <c r="A43" s="13" t="s">
        <v>127</v>
      </c>
      <c r="B43" s="14" t="s">
        <v>129</v>
      </c>
      <c r="C43" s="15" t="str">
        <f>IF(D43&lt;2005,"senior","junior")</f>
        <v>senior</v>
      </c>
      <c r="D43" s="15">
        <v>1999</v>
      </c>
      <c r="E43" s="15" t="s">
        <v>29</v>
      </c>
      <c r="F43" s="15" t="s">
        <v>14</v>
      </c>
      <c r="G43" s="16">
        <v>95.5</v>
      </c>
      <c r="H43" s="15">
        <v>15.5</v>
      </c>
      <c r="I43" s="15">
        <v>17.5</v>
      </c>
      <c r="J43" s="15">
        <v>18</v>
      </c>
      <c r="K43" s="15">
        <v>16</v>
      </c>
      <c r="L43" s="15">
        <v>16.5</v>
      </c>
      <c r="M43" s="17">
        <f>SUM(H43:L43) - MIN(H43:L43) - MAX(H43:L43)</f>
        <v>50</v>
      </c>
      <c r="N43" s="17">
        <f>IF(G43:G102 &gt; 120,60 + ((120-G43) * 1.2),60 - ((120-G43) * 1.2))</f>
        <v>30.6</v>
      </c>
      <c r="O43" s="18">
        <f>SUM(M43:N43)</f>
        <v>80.599999999999994</v>
      </c>
    </row>
    <row r="44" spans="1:15" x14ac:dyDescent="0.25">
      <c r="A44" s="13" t="s">
        <v>80</v>
      </c>
      <c r="B44" s="14" t="s">
        <v>81</v>
      </c>
      <c r="C44" s="15" t="str">
        <f>IF(D44&lt;2005,"senior","junior")</f>
        <v>senior</v>
      </c>
      <c r="D44" s="15">
        <v>1999</v>
      </c>
      <c r="E44" s="15" t="s">
        <v>24</v>
      </c>
      <c r="F44" s="15" t="s">
        <v>14</v>
      </c>
      <c r="G44" s="16">
        <v>95</v>
      </c>
      <c r="H44" s="15">
        <v>15.5</v>
      </c>
      <c r="I44" s="15">
        <v>17</v>
      </c>
      <c r="J44" s="15">
        <v>16.5</v>
      </c>
      <c r="K44" s="15">
        <v>16</v>
      </c>
      <c r="L44" s="15">
        <v>15</v>
      </c>
      <c r="M44" s="17">
        <f>SUM(H44:L44) - MIN(H44:L44) - MAX(H44:L44)</f>
        <v>48</v>
      </c>
      <c r="N44" s="17">
        <f>IF(G44:G103 &gt; 120,60 + ((120-G44) * 1.2),60 - ((120-G44) * 1.2))</f>
        <v>30</v>
      </c>
      <c r="O44" s="18">
        <f>SUM(M44:N44)</f>
        <v>78</v>
      </c>
    </row>
    <row r="45" spans="1:15" x14ac:dyDescent="0.25">
      <c r="A45" s="13" t="s">
        <v>82</v>
      </c>
      <c r="B45" s="14" t="s">
        <v>83</v>
      </c>
      <c r="C45" s="15" t="str">
        <f>IF(D45&lt;2005,"senior","junior")</f>
        <v>senior</v>
      </c>
      <c r="D45" s="15">
        <v>1999</v>
      </c>
      <c r="E45" s="15" t="s">
        <v>84</v>
      </c>
      <c r="F45" s="15" t="s">
        <v>14</v>
      </c>
      <c r="G45" s="16">
        <v>95</v>
      </c>
      <c r="H45" s="15">
        <v>15.5</v>
      </c>
      <c r="I45" s="15">
        <v>16</v>
      </c>
      <c r="J45" s="15">
        <v>15</v>
      </c>
      <c r="K45" s="15">
        <v>16</v>
      </c>
      <c r="L45" s="15">
        <v>15.5</v>
      </c>
      <c r="M45" s="17">
        <f>SUM(H45:L45) - MIN(H45:L45) - MAX(H45:L45)</f>
        <v>47</v>
      </c>
      <c r="N45" s="17">
        <f>IF(G45:G104 &gt; 120,60 + ((120-G45) * 1.2),60 - ((120-G45) * 1.2))</f>
        <v>30</v>
      </c>
      <c r="O45" s="18">
        <f>SUM(M45:N45)</f>
        <v>77</v>
      </c>
    </row>
    <row r="46" spans="1:15" x14ac:dyDescent="0.25">
      <c r="A46" s="13" t="s">
        <v>55</v>
      </c>
      <c r="B46" s="14" t="s">
        <v>56</v>
      </c>
      <c r="C46" s="15" t="str">
        <f>IF(D46&lt;2005,"senior","junior")</f>
        <v>senior</v>
      </c>
      <c r="D46" s="15">
        <v>1998</v>
      </c>
      <c r="E46" s="15" t="s">
        <v>37</v>
      </c>
      <c r="F46" s="15" t="s">
        <v>14</v>
      </c>
      <c r="G46" s="16">
        <v>93</v>
      </c>
      <c r="H46" s="15">
        <v>16.5</v>
      </c>
      <c r="I46" s="15">
        <v>16.5</v>
      </c>
      <c r="J46" s="15">
        <v>16.5</v>
      </c>
      <c r="K46" s="15">
        <v>14.5</v>
      </c>
      <c r="L46" s="15">
        <v>16</v>
      </c>
      <c r="M46" s="17">
        <f>SUM(H46:L46) - MIN(H46:L46) - MAX(H46:L46)</f>
        <v>49</v>
      </c>
      <c r="N46" s="17">
        <f>IF(G46:G105 &gt; 120,60 + ((120-G46) * 1.2),60 - ((120-G46) * 1.2))</f>
        <v>27.6</v>
      </c>
      <c r="O46" s="18">
        <f>SUM(M46:N46)</f>
        <v>76.599999999999994</v>
      </c>
    </row>
    <row r="47" spans="1:15" x14ac:dyDescent="0.25">
      <c r="A47" s="13" t="s">
        <v>78</v>
      </c>
      <c r="B47" s="14" t="s">
        <v>79</v>
      </c>
      <c r="C47" s="15" t="str">
        <f>IF(D47&lt;2005,"senior","junior")</f>
        <v>senior</v>
      </c>
      <c r="D47" s="15">
        <v>2000</v>
      </c>
      <c r="E47" s="15" t="s">
        <v>52</v>
      </c>
      <c r="F47" s="15" t="s">
        <v>14</v>
      </c>
      <c r="G47" s="16">
        <v>95</v>
      </c>
      <c r="H47" s="15">
        <v>14.5</v>
      </c>
      <c r="I47" s="15">
        <v>17</v>
      </c>
      <c r="J47" s="15">
        <v>16.5</v>
      </c>
      <c r="K47" s="15">
        <v>15</v>
      </c>
      <c r="L47" s="15">
        <v>14.5</v>
      </c>
      <c r="M47" s="17">
        <f>SUM(H47:L47) - MIN(H47:L47) - MAX(H47:L47)</f>
        <v>46</v>
      </c>
      <c r="N47" s="17">
        <f>IF(G47:G106 &gt; 120,60 + ((120-G47) * 1.2),60 - ((120-G47) * 1.2))</f>
        <v>30</v>
      </c>
      <c r="O47" s="18">
        <f>SUM(M47:N47)</f>
        <v>76</v>
      </c>
    </row>
    <row r="48" spans="1:15" x14ac:dyDescent="0.25">
      <c r="A48" s="13" t="s">
        <v>66</v>
      </c>
      <c r="B48" s="14" t="s">
        <v>67</v>
      </c>
      <c r="C48" s="15" t="str">
        <f>IF(D48&lt;2005,"senior","junior")</f>
        <v>senior</v>
      </c>
      <c r="D48" s="15">
        <v>1998</v>
      </c>
      <c r="E48" s="15" t="s">
        <v>37</v>
      </c>
      <c r="F48" s="15" t="s">
        <v>14</v>
      </c>
      <c r="G48" s="16">
        <v>93</v>
      </c>
      <c r="H48" s="15">
        <v>15.5</v>
      </c>
      <c r="I48" s="15">
        <v>15</v>
      </c>
      <c r="J48" s="15">
        <v>15</v>
      </c>
      <c r="K48" s="15">
        <v>16.5</v>
      </c>
      <c r="L48" s="15">
        <v>16.5</v>
      </c>
      <c r="M48" s="17">
        <f>SUM(H48:L48) - MIN(H48:L48) - MAX(H48:L48)</f>
        <v>47</v>
      </c>
      <c r="N48" s="17">
        <f>IF(G48:G107 &gt; 120,60 + ((120-G48) * 1.2),60 - ((120-G48) * 1.2))</f>
        <v>27.6</v>
      </c>
      <c r="O48" s="18">
        <f>SUM(M48:N48)</f>
        <v>74.599999999999994</v>
      </c>
    </row>
    <row r="49" spans="1:15" x14ac:dyDescent="0.25">
      <c r="A49" s="13" t="s">
        <v>33</v>
      </c>
      <c r="B49" s="14" t="s">
        <v>34</v>
      </c>
      <c r="C49" s="15" t="str">
        <f>IF(D49&lt;2005,"senior","junior")</f>
        <v>senior</v>
      </c>
      <c r="D49" s="15">
        <v>1995</v>
      </c>
      <c r="E49" s="15" t="s">
        <v>21</v>
      </c>
      <c r="F49" s="15" t="s">
        <v>14</v>
      </c>
      <c r="G49" s="16">
        <v>92</v>
      </c>
      <c r="H49" s="15">
        <v>15</v>
      </c>
      <c r="I49" s="15">
        <v>15</v>
      </c>
      <c r="J49" s="15">
        <v>16</v>
      </c>
      <c r="K49" s="15">
        <v>17</v>
      </c>
      <c r="L49" s="15">
        <v>17</v>
      </c>
      <c r="M49" s="17">
        <f>SUM(H49:L49) - MIN(H49:L49) - MAX(H49:L49)</f>
        <v>48</v>
      </c>
      <c r="N49" s="17">
        <f>IF(G49:G108 &gt; 120,60 + ((120-G49) * 1.2),60 - ((120-G49) * 1.2))</f>
        <v>26.4</v>
      </c>
      <c r="O49" s="18">
        <f>SUM(M49:N49)</f>
        <v>74.400000000000006</v>
      </c>
    </row>
    <row r="50" spans="1:15" x14ac:dyDescent="0.25">
      <c r="A50" s="13" t="s">
        <v>62</v>
      </c>
      <c r="B50" s="14" t="s">
        <v>63</v>
      </c>
      <c r="C50" s="15" t="str">
        <f>IF(D50&lt;2005,"senior","junior")</f>
        <v>senior</v>
      </c>
      <c r="D50" s="15">
        <v>2000</v>
      </c>
      <c r="E50" s="15" t="s">
        <v>32</v>
      </c>
      <c r="F50" s="15" t="s">
        <v>14</v>
      </c>
      <c r="G50" s="16">
        <v>92</v>
      </c>
      <c r="H50" s="15">
        <v>17</v>
      </c>
      <c r="I50" s="15">
        <v>15</v>
      </c>
      <c r="J50" s="15">
        <v>14.5</v>
      </c>
      <c r="K50" s="15">
        <v>16</v>
      </c>
      <c r="L50" s="15">
        <v>17</v>
      </c>
      <c r="M50" s="17">
        <f>SUM(H50:L50) - MIN(H50:L50) - MAX(H50:L50)</f>
        <v>48</v>
      </c>
      <c r="N50" s="17">
        <f>IF(G50:G109 &gt; 120,60 + ((120-G50) * 1.2),60 - ((120-G50) * 1.2))</f>
        <v>26.4</v>
      </c>
      <c r="O50" s="18">
        <f>SUM(M50:N50)</f>
        <v>74.400000000000006</v>
      </c>
    </row>
    <row r="51" spans="1:15" x14ac:dyDescent="0.25">
      <c r="A51" s="13" t="s">
        <v>45</v>
      </c>
      <c r="B51" s="14" t="s">
        <v>46</v>
      </c>
      <c r="C51" s="15" t="str">
        <f>IF(D51&lt;2005,"senior","junior")</f>
        <v>senior</v>
      </c>
      <c r="D51" s="15">
        <v>2000</v>
      </c>
      <c r="E51" s="15" t="s">
        <v>37</v>
      </c>
      <c r="F51" s="15" t="s">
        <v>14</v>
      </c>
      <c r="G51" s="16">
        <v>89.5</v>
      </c>
      <c r="H51" s="15">
        <v>17</v>
      </c>
      <c r="I51" s="15">
        <v>17</v>
      </c>
      <c r="J51" s="15">
        <v>16.5</v>
      </c>
      <c r="K51" s="15">
        <v>14.5</v>
      </c>
      <c r="L51" s="15">
        <v>17</v>
      </c>
      <c r="M51" s="17">
        <f>SUM(H51:L51) - MIN(H51:L51) - MAX(H51:L51)</f>
        <v>50.5</v>
      </c>
      <c r="N51" s="17">
        <f>IF(G51:G110 &gt; 120,60 + ((120-G51) * 1.2),60 - ((120-G51) * 1.2))</f>
        <v>23.4</v>
      </c>
      <c r="O51" s="18">
        <f>SUM(M51:N51)</f>
        <v>73.900000000000006</v>
      </c>
    </row>
    <row r="52" spans="1:15" x14ac:dyDescent="0.25">
      <c r="A52" s="13" t="s">
        <v>123</v>
      </c>
      <c r="B52" s="14" t="s">
        <v>124</v>
      </c>
      <c r="C52" s="15" t="str">
        <f>IF(D52&lt;2005,"senior","junior")</f>
        <v>senior</v>
      </c>
      <c r="D52" s="15">
        <v>1996</v>
      </c>
      <c r="E52" s="15" t="s">
        <v>98</v>
      </c>
      <c r="F52" s="15" t="s">
        <v>14</v>
      </c>
      <c r="G52" s="16">
        <v>92</v>
      </c>
      <c r="H52" s="15">
        <v>16.5</v>
      </c>
      <c r="I52" s="15">
        <v>16</v>
      </c>
      <c r="J52" s="15">
        <v>16</v>
      </c>
      <c r="K52" s="15">
        <v>14.5</v>
      </c>
      <c r="L52" s="15">
        <v>15</v>
      </c>
      <c r="M52" s="17">
        <f>SUM(H52:L52) - MIN(H52:L52) - MAX(H52:L52)</f>
        <v>47</v>
      </c>
      <c r="N52" s="17">
        <f>IF(G52:G111 &gt; 120,60 + ((120-G52) * 1.2),60 - ((120-G52) * 1.2))</f>
        <v>26.4</v>
      </c>
      <c r="O52" s="18">
        <f>SUM(M52:N52)</f>
        <v>73.400000000000006</v>
      </c>
    </row>
    <row r="53" spans="1:15" x14ac:dyDescent="0.25">
      <c r="A53" s="13" t="s">
        <v>47</v>
      </c>
      <c r="B53" s="14" t="s">
        <v>49</v>
      </c>
      <c r="C53" s="15" t="str">
        <f>IF(D53&lt;2005,"senior","junior")</f>
        <v>senior</v>
      </c>
      <c r="D53" s="15">
        <v>2001</v>
      </c>
      <c r="E53" s="15" t="s">
        <v>17</v>
      </c>
      <c r="F53" s="15" t="s">
        <v>18</v>
      </c>
      <c r="G53" s="16">
        <v>90.5</v>
      </c>
      <c r="H53" s="15">
        <v>17</v>
      </c>
      <c r="I53" s="15">
        <v>15.5</v>
      </c>
      <c r="J53" s="15">
        <v>16.5</v>
      </c>
      <c r="K53" s="15">
        <v>14.5</v>
      </c>
      <c r="L53" s="15">
        <v>16.5</v>
      </c>
      <c r="M53" s="17">
        <f>SUM(H53:L53) - MIN(H53:L53) - MAX(H53:L53)</f>
        <v>48.5</v>
      </c>
      <c r="N53" s="17">
        <f>IF(G53:G112 &gt; 120,60 + ((120-G53) * 1.2),60 - ((120-G53) * 1.2))</f>
        <v>24.6</v>
      </c>
      <c r="O53" s="18">
        <f>SUM(M53:N53)</f>
        <v>73.099999999999994</v>
      </c>
    </row>
    <row r="54" spans="1:15" x14ac:dyDescent="0.25">
      <c r="A54" s="13" t="s">
        <v>114</v>
      </c>
      <c r="B54" s="14" t="s">
        <v>115</v>
      </c>
      <c r="C54" s="15" t="str">
        <f>IF(D54&lt;2005,"senior","junior")</f>
        <v>senior</v>
      </c>
      <c r="D54" s="15">
        <v>1998</v>
      </c>
      <c r="E54" s="15" t="s">
        <v>21</v>
      </c>
      <c r="F54" s="15" t="s">
        <v>14</v>
      </c>
      <c r="G54" s="16">
        <v>90.5</v>
      </c>
      <c r="H54" s="15">
        <v>16</v>
      </c>
      <c r="I54" s="15">
        <v>15.5</v>
      </c>
      <c r="J54" s="15">
        <v>17</v>
      </c>
      <c r="K54" s="15">
        <v>14.5</v>
      </c>
      <c r="L54" s="15">
        <v>16.5</v>
      </c>
      <c r="M54" s="17">
        <f>SUM(H54:L54) - MIN(H54:L54) - MAX(H54:L54)</f>
        <v>48</v>
      </c>
      <c r="N54" s="17">
        <f>IF(G54:G113 &gt; 120,60 + ((120-G54) * 1.2),60 - ((120-G54) * 1.2))</f>
        <v>24.6</v>
      </c>
      <c r="O54" s="18">
        <f>SUM(M54:N54)</f>
        <v>72.599999999999994</v>
      </c>
    </row>
    <row r="55" spans="1:15" x14ac:dyDescent="0.25">
      <c r="A55" s="13" t="s">
        <v>91</v>
      </c>
      <c r="B55" s="14" t="s">
        <v>92</v>
      </c>
      <c r="C55" s="15" t="str">
        <f>IF(D55&lt;2005,"senior","junior")</f>
        <v>junior</v>
      </c>
      <c r="D55" s="15">
        <v>2009</v>
      </c>
      <c r="E55" s="15" t="s">
        <v>21</v>
      </c>
      <c r="F55" s="15" t="s">
        <v>14</v>
      </c>
      <c r="G55" s="16">
        <v>91</v>
      </c>
      <c r="H55" s="15">
        <v>15.5</v>
      </c>
      <c r="I55" s="15">
        <v>17</v>
      </c>
      <c r="J55" s="15">
        <v>16</v>
      </c>
      <c r="K55" s="15">
        <v>15.5</v>
      </c>
      <c r="L55" s="15">
        <v>15.5</v>
      </c>
      <c r="M55" s="17">
        <f>SUM(H55:L55) - MIN(H55:L55) - MAX(H55:L55)</f>
        <v>47</v>
      </c>
      <c r="N55" s="17">
        <f>IF(G55:G114 &gt; 120,60 + ((120-G55) * 1.2),60 - ((120-G55) * 1.2))</f>
        <v>25.200000000000003</v>
      </c>
      <c r="O55" s="18">
        <f>SUM(M55:N55)</f>
        <v>72.2</v>
      </c>
    </row>
    <row r="56" spans="1:15" x14ac:dyDescent="0.25">
      <c r="A56" s="13" t="s">
        <v>38</v>
      </c>
      <c r="B56" s="14" t="s">
        <v>39</v>
      </c>
      <c r="C56" s="15" t="str">
        <f>IF(D56&lt;2005,"senior","junior")</f>
        <v>senior</v>
      </c>
      <c r="D56" s="15">
        <v>2002</v>
      </c>
      <c r="E56" s="15" t="s">
        <v>40</v>
      </c>
      <c r="F56" s="15" t="s">
        <v>14</v>
      </c>
      <c r="G56" s="16">
        <v>89.5</v>
      </c>
      <c r="H56" s="15">
        <v>16.5</v>
      </c>
      <c r="I56" s="15">
        <v>14.5</v>
      </c>
      <c r="J56" s="15">
        <v>16.5</v>
      </c>
      <c r="K56" s="15">
        <v>16.5</v>
      </c>
      <c r="L56" s="15">
        <v>15.5</v>
      </c>
      <c r="M56" s="17">
        <f>SUM(H56:L56) - MIN(H56:L56) - MAX(H56:L56)</f>
        <v>48.5</v>
      </c>
      <c r="N56" s="17">
        <f>IF(G56:G115 &gt; 120,60 + ((120-G56) * 1.2),60 - ((120-G56) * 1.2))</f>
        <v>23.4</v>
      </c>
      <c r="O56" s="18">
        <f>SUM(M56:N56)</f>
        <v>71.900000000000006</v>
      </c>
    </row>
    <row r="57" spans="1:15" x14ac:dyDescent="0.25">
      <c r="A57" s="13" t="s">
        <v>136</v>
      </c>
      <c r="B57" s="14" t="s">
        <v>137</v>
      </c>
      <c r="C57" s="15" t="str">
        <f>IF(D57&lt;2005,"senior","junior")</f>
        <v>senior</v>
      </c>
      <c r="D57" s="15">
        <v>1994</v>
      </c>
      <c r="E57" s="15" t="s">
        <v>32</v>
      </c>
      <c r="F57" s="15" t="s">
        <v>14</v>
      </c>
      <c r="G57" s="16">
        <v>90</v>
      </c>
      <c r="H57" s="15">
        <v>16.5</v>
      </c>
      <c r="I57" s="15">
        <v>15</v>
      </c>
      <c r="J57" s="15">
        <v>15</v>
      </c>
      <c r="K57" s="15">
        <v>15.5</v>
      </c>
      <c r="L57" s="15">
        <v>16.5</v>
      </c>
      <c r="M57" s="17">
        <f>SUM(H57:L57) - MIN(H57:L57) - MAX(H57:L57)</f>
        <v>47</v>
      </c>
      <c r="N57" s="17">
        <f>IF(G57:G116 &gt; 120,60 + ((120-G57) * 1.2),60 - ((120-G57) * 1.2))</f>
        <v>24</v>
      </c>
      <c r="O57" s="18">
        <f>SUM(M57:N57)</f>
        <v>71</v>
      </c>
    </row>
    <row r="58" spans="1:15" x14ac:dyDescent="0.25">
      <c r="A58" s="13" t="s">
        <v>76</v>
      </c>
      <c r="B58" s="14" t="s">
        <v>77</v>
      </c>
      <c r="C58" s="15" t="str">
        <f>IF(D58&lt;2005,"senior","junior")</f>
        <v>senior</v>
      </c>
      <c r="D58" s="15">
        <v>2002</v>
      </c>
      <c r="E58" s="15" t="s">
        <v>37</v>
      </c>
      <c r="F58" s="15" t="s">
        <v>14</v>
      </c>
      <c r="G58" s="16">
        <v>88.5</v>
      </c>
      <c r="H58" s="15">
        <v>16</v>
      </c>
      <c r="I58" s="15">
        <v>16</v>
      </c>
      <c r="J58" s="15">
        <v>15</v>
      </c>
      <c r="K58" s="15">
        <v>15.5</v>
      </c>
      <c r="L58" s="15">
        <v>15.5</v>
      </c>
      <c r="M58" s="17">
        <f>SUM(H58:L58) - MIN(H58:L58) - MAX(H58:L58)</f>
        <v>47</v>
      </c>
      <c r="N58" s="17">
        <f>IF(G58:G117 &gt; 120,60 + ((120-G58) * 1.2),60 - ((120-G58) * 1.2))</f>
        <v>22.200000000000003</v>
      </c>
      <c r="O58" s="18">
        <f>SUM(M58:N58)</f>
        <v>69.2</v>
      </c>
    </row>
    <row r="59" spans="1:15" x14ac:dyDescent="0.25">
      <c r="A59" s="13" t="s">
        <v>25</v>
      </c>
      <c r="B59" s="14" t="s">
        <v>26</v>
      </c>
      <c r="C59" s="15" t="str">
        <f>IF(D59&lt;2005,"senior","junior")</f>
        <v>junior</v>
      </c>
      <c r="D59" s="15">
        <v>2006</v>
      </c>
      <c r="E59" s="15" t="s">
        <v>21</v>
      </c>
      <c r="F59" s="15" t="s">
        <v>14</v>
      </c>
      <c r="G59" s="16">
        <v>90</v>
      </c>
      <c r="H59" s="15">
        <v>15.5</v>
      </c>
      <c r="I59" s="15">
        <v>16.5</v>
      </c>
      <c r="J59" s="15">
        <v>14.5</v>
      </c>
      <c r="K59" s="15">
        <v>14.5</v>
      </c>
      <c r="L59" s="15">
        <v>15</v>
      </c>
      <c r="M59" s="17">
        <f>SUM(H59:L59) - MIN(H59:L59) - MAX(H59:L59)</f>
        <v>45</v>
      </c>
      <c r="N59" s="17">
        <f>IF(G59:G118 &gt; 120,60 + ((120-G59) * 1.2),60 - ((120-G59) * 1.2))</f>
        <v>24</v>
      </c>
      <c r="O59" s="18">
        <f>SUM(M59:N59)</f>
        <v>69</v>
      </c>
    </row>
    <row r="60" spans="1:15" x14ac:dyDescent="0.25">
      <c r="A60" s="13" t="s">
        <v>112</v>
      </c>
      <c r="B60" s="14" t="s">
        <v>113</v>
      </c>
      <c r="C60" s="15" t="str">
        <f>IF(D60&lt;2005,"senior","junior")</f>
        <v>senior</v>
      </c>
      <c r="D60" s="15">
        <v>1991</v>
      </c>
      <c r="E60" s="15" t="s">
        <v>21</v>
      </c>
      <c r="F60" s="15" t="s">
        <v>14</v>
      </c>
      <c r="G60" s="16">
        <v>88</v>
      </c>
      <c r="H60" s="15">
        <v>15.5</v>
      </c>
      <c r="I60" s="15">
        <v>14.5</v>
      </c>
      <c r="J60" s="15">
        <v>17</v>
      </c>
      <c r="K60" s="15">
        <v>15</v>
      </c>
      <c r="L60" s="15">
        <v>16.5</v>
      </c>
      <c r="M60" s="17">
        <f>SUM(H60:L60) - MIN(H60:L60) - MAX(H60:L60)</f>
        <v>47</v>
      </c>
      <c r="N60" s="17">
        <f>IF(G60:G119 &gt; 120,60 + ((120-G60) * 1.2),60 - ((120-G60) * 1.2))</f>
        <v>21.6</v>
      </c>
      <c r="O60" s="18">
        <f>SUM(M60:N60)</f>
        <v>68.599999999999994</v>
      </c>
    </row>
    <row r="61" spans="1:15" x14ac:dyDescent="0.25">
      <c r="A61" s="13" t="s">
        <v>118</v>
      </c>
      <c r="B61" s="14" t="s">
        <v>119</v>
      </c>
      <c r="C61" s="15" t="str">
        <f>IF(D61&lt;2005,"senior","junior")</f>
        <v>senior</v>
      </c>
      <c r="D61" s="15">
        <v>2001</v>
      </c>
      <c r="E61" s="15" t="s">
        <v>52</v>
      </c>
      <c r="F61" s="15" t="s">
        <v>14</v>
      </c>
      <c r="G61" s="16">
        <v>85.5</v>
      </c>
      <c r="H61" s="15">
        <v>16.5</v>
      </c>
      <c r="I61" s="15">
        <v>16</v>
      </c>
      <c r="J61" s="15">
        <v>16.5</v>
      </c>
      <c r="K61" s="15">
        <v>15</v>
      </c>
      <c r="L61" s="15">
        <v>17</v>
      </c>
      <c r="M61" s="17">
        <f>SUM(H61:L61) - MIN(H61:L61) - MAX(H61:L61)</f>
        <v>49</v>
      </c>
      <c r="N61" s="17">
        <f>IF(G61:G120 &gt; 120,60 + ((120-G61) * 1.2),60 - ((120-G61) * 1.2))</f>
        <v>18.600000000000001</v>
      </c>
      <c r="O61" s="18">
        <f>SUM(M61:N61)</f>
        <v>67.599999999999994</v>
      </c>
    </row>
    <row r="62" spans="1:15" ht="15.75" thickBot="1" x14ac:dyDescent="0.3">
      <c r="A62" s="19" t="s">
        <v>101</v>
      </c>
      <c r="B62" s="20" t="s">
        <v>71</v>
      </c>
      <c r="C62" s="21" t="str">
        <f>IF(D62&lt;2005,"senior","junior")</f>
        <v>junior</v>
      </c>
      <c r="D62" s="21">
        <v>2006</v>
      </c>
      <c r="E62" s="21" t="s">
        <v>72</v>
      </c>
      <c r="F62" s="21" t="s">
        <v>14</v>
      </c>
      <c r="G62" s="22">
        <v>78.5</v>
      </c>
      <c r="H62" s="21">
        <v>14</v>
      </c>
      <c r="I62" s="21">
        <v>13.5</v>
      </c>
      <c r="J62" s="21">
        <v>15.5</v>
      </c>
      <c r="K62" s="21">
        <v>13.5</v>
      </c>
      <c r="L62" s="21">
        <v>15</v>
      </c>
      <c r="M62" s="23">
        <f>SUM(H62:L62) - MIN(H62:L62) - MAX(H62:L62)</f>
        <v>42.5</v>
      </c>
      <c r="N62" s="23">
        <f>IF(G62:G121 &gt; 120,60 + ((120-G62) * 1.2),60 - ((120-G62) * 1.2))</f>
        <v>10.200000000000003</v>
      </c>
      <c r="O62" s="24">
        <f>SUM(M62:N62)</f>
        <v>52.7</v>
      </c>
    </row>
    <row r="64" spans="1:15" x14ac:dyDescent="0.25">
      <c r="L64" s="2" t="s">
        <v>143</v>
      </c>
      <c r="M64" s="2"/>
      <c r="N64" s="2"/>
      <c r="O64" s="1">
        <v>1.2</v>
      </c>
    </row>
    <row r="65" spans="1:7" x14ac:dyDescent="0.25">
      <c r="A65" s="7"/>
      <c r="B65" s="8" t="s">
        <v>146</v>
      </c>
      <c r="C65" s="8" t="s">
        <v>147</v>
      </c>
      <c r="D65" s="8" t="s">
        <v>148</v>
      </c>
    </row>
    <row r="66" spans="1:7" x14ac:dyDescent="0.25">
      <c r="A66" s="4" t="s">
        <v>144</v>
      </c>
      <c r="B66" s="5">
        <f>AVERAGE(O3:O62)</f>
        <v>86.926666666666662</v>
      </c>
      <c r="C66" s="5">
        <f>MAX(O3:O62)</f>
        <v>159.5</v>
      </c>
      <c r="D66" s="5">
        <f>MIN(O3:O62)</f>
        <v>52.7</v>
      </c>
    </row>
    <row r="67" spans="1:7" x14ac:dyDescent="0.25">
      <c r="A67" s="4" t="s">
        <v>145</v>
      </c>
      <c r="B67" s="6">
        <f>AVERAGE(G3:G62)</f>
        <v>99.191666666666663</v>
      </c>
      <c r="C67" s="6">
        <f>MAX(G3:G62)</f>
        <v>120.5</v>
      </c>
      <c r="D67" s="6">
        <f>MIN(G3:G62)</f>
        <v>70</v>
      </c>
    </row>
    <row r="68" spans="1:7" x14ac:dyDescent="0.25">
      <c r="G68" s="3"/>
    </row>
  </sheetData>
  <sortState ref="A3:O62">
    <sortCondition descending="1" ref="O3:O62"/>
  </sortState>
  <mergeCells count="2">
    <mergeCell ref="L64:N64"/>
    <mergeCell ref="A1:O1"/>
  </mergeCells>
  <conditionalFormatting sqref="C3:C62">
    <cfRule type="cellIs" dxfId="0" priority="1" operator="equal">
      <formula>"junior"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skoky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2025-11-04T12:29:39Z</dcterms:created>
  <dcterms:modified xsi:type="dcterms:W3CDTF">2025-11-04T13:19:51Z</dcterms:modified>
</cp:coreProperties>
</file>